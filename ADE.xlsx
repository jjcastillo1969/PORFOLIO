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URSO IA\PROBLEMA O PROYECTOS\PORFOLIO- PROBLEMA\"/>
    </mc:Choice>
  </mc:AlternateContent>
  <xr:revisionPtr revIDLastSave="0" documentId="13_ncr:1_{4F3C9814-4D79-4468-A471-D35012319BFE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dataset" sheetId="1" r:id="rId1"/>
    <sheet name="Datos-Valores Ordenados" sheetId="5" r:id="rId2"/>
    <sheet name="Analisis Expl.+Regres. " sheetId="8" r:id="rId3"/>
    <sheet name="Regresion Precipitaciones" sheetId="9" r:id="rId4"/>
    <sheet name="Dist.Frecu. y RegresPº.Aceituna" sheetId="7" r:id="rId5"/>
    <sheet name="Correlacion Año con Pº.Aceituna" sheetId="11" r:id="rId6"/>
    <sheet name="T.Distrib. Frec. Tª" sheetId="10" r:id="rId7"/>
    <sheet name="Regresion Tª.media" sheetId="6" r:id="rId8"/>
    <sheet name="Emj.Tabla distribuc.Frecuc-Lluv" sheetId="3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F2" i="7"/>
  <c r="E3" i="7"/>
  <c r="F3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Q6" i="8"/>
  <c r="Q5" i="8"/>
  <c r="Q4" i="8"/>
  <c r="N8" i="10"/>
  <c r="N6" i="10"/>
  <c r="N7" i="10"/>
  <c r="K6" i="10"/>
  <c r="O11" i="6"/>
  <c r="O12" i="6"/>
  <c r="O13" i="6"/>
  <c r="O14" i="6"/>
  <c r="O15" i="6"/>
  <c r="O16" i="6"/>
  <c r="O17" i="6"/>
  <c r="O18" i="6"/>
  <c r="O19" i="6"/>
  <c r="O10" i="6"/>
  <c r="O9" i="6"/>
  <c r="N10" i="6"/>
  <c r="I10" i="6"/>
  <c r="N11" i="6"/>
  <c r="N12" i="6"/>
  <c r="N13" i="6"/>
  <c r="N14" i="6"/>
  <c r="N15" i="6"/>
  <c r="N16" i="6"/>
  <c r="N17" i="6"/>
  <c r="N18" i="6"/>
  <c r="N19" i="6"/>
  <c r="N9" i="6"/>
  <c r="J11" i="6"/>
  <c r="J10" i="6"/>
  <c r="J9" i="6"/>
  <c r="I9" i="6"/>
  <c r="H9" i="6"/>
  <c r="L11" i="6"/>
  <c r="M11" i="6"/>
  <c r="L12" i="6" s="1"/>
  <c r="M12" i="6" s="1"/>
  <c r="L13" i="6" s="1"/>
  <c r="M13" i="6" s="1"/>
  <c r="L14" i="6" s="1"/>
  <c r="M14" i="6" s="1"/>
  <c r="L15" i="6" s="1"/>
  <c r="M15" i="6" s="1"/>
  <c r="L16" i="6" s="1"/>
  <c r="M16" i="6" s="1"/>
  <c r="L17" i="6" s="1"/>
  <c r="M17" i="6" s="1"/>
  <c r="L18" i="6" s="1"/>
  <c r="M18" i="6" s="1"/>
  <c r="L19" i="6" s="1"/>
  <c r="M19" i="6" s="1"/>
  <c r="M10" i="6"/>
  <c r="M9" i="6"/>
  <c r="L10" i="6"/>
  <c r="L9" i="6"/>
  <c r="M3" i="6"/>
  <c r="M2" i="6"/>
  <c r="O3" i="6"/>
  <c r="N3" i="6"/>
  <c r="G34" i="10"/>
  <c r="M27" i="8"/>
  <c r="M28" i="8"/>
  <c r="M29" i="8"/>
  <c r="M26" i="8"/>
  <c r="G4" i="10"/>
  <c r="G18" i="10"/>
  <c r="G34" i="8"/>
  <c r="G32" i="8"/>
  <c r="G24" i="8"/>
  <c r="G8" i="8"/>
  <c r="N5" i="10"/>
  <c r="G28" i="10"/>
  <c r="Q11" i="10"/>
  <c r="Q10" i="10"/>
  <c r="J5" i="10"/>
  <c r="K5" i="10" s="1"/>
  <c r="Q8" i="10"/>
  <c r="Q6" i="10"/>
  <c r="Q3" i="10"/>
  <c r="Q4" i="10"/>
  <c r="N9" i="3"/>
  <c r="N8" i="3"/>
  <c r="P10" i="8"/>
  <c r="P9" i="8"/>
  <c r="P21" i="8"/>
  <c r="P20" i="8"/>
  <c r="P14" i="8"/>
  <c r="P13" i="8"/>
  <c r="C34" i="6"/>
  <c r="Q19" i="6" s="1"/>
  <c r="C31" i="6"/>
  <c r="Q18" i="6" s="1"/>
  <c r="C28" i="6"/>
  <c r="Q17" i="6" s="1"/>
  <c r="C4" i="6"/>
  <c r="Q9" i="6" s="1"/>
  <c r="C7" i="6"/>
  <c r="Q10" i="6" s="1"/>
  <c r="C10" i="6"/>
  <c r="Q11" i="6" s="1"/>
  <c r="C13" i="6"/>
  <c r="Q12" i="6" s="1"/>
  <c r="C16" i="6"/>
  <c r="Q13" i="6" s="1"/>
  <c r="C19" i="6"/>
  <c r="Q14" i="6" s="1"/>
  <c r="C22" i="6"/>
  <c r="Q15" i="6" s="1"/>
  <c r="C25" i="6"/>
  <c r="Q16" i="6" s="1"/>
  <c r="P3" i="8"/>
  <c r="J3" i="8" s="1"/>
  <c r="P2" i="8"/>
  <c r="R10" i="7"/>
  <c r="R11" i="7"/>
  <c r="P5" i="8" l="1"/>
  <c r="P7" i="8" s="1"/>
  <c r="K3" i="8" s="1"/>
  <c r="P16" i="8"/>
  <c r="P18" i="8" s="1"/>
  <c r="J6" i="10"/>
  <c r="J7" i="10" s="1"/>
  <c r="G9" i="6"/>
  <c r="I3" i="6"/>
  <c r="J3" i="6" s="1"/>
  <c r="G3" i="6"/>
  <c r="G2" i="6"/>
  <c r="E4" i="1"/>
  <c r="N2" i="3"/>
  <c r="G2" i="3" s="1"/>
  <c r="N1" i="3"/>
  <c r="N4" i="3"/>
  <c r="N6" i="3" s="1"/>
  <c r="N34" i="1"/>
  <c r="N33" i="1"/>
  <c r="N32" i="1"/>
  <c r="N31" i="1"/>
  <c r="E9" i="1"/>
  <c r="F9" i="1"/>
  <c r="E5" i="1"/>
  <c r="F5" i="1"/>
  <c r="H2" i="1"/>
  <c r="F2" i="1"/>
  <c r="E2" i="1"/>
  <c r="J6" i="1"/>
  <c r="H6" i="1"/>
  <c r="F6" i="1"/>
  <c r="E6" i="1"/>
  <c r="J5" i="1"/>
  <c r="H5" i="1"/>
  <c r="J9" i="1"/>
  <c r="H9" i="1"/>
  <c r="J8" i="1"/>
  <c r="F8" i="1"/>
  <c r="J2" i="1"/>
  <c r="N30" i="1"/>
  <c r="F14" i="1"/>
  <c r="J10" i="1"/>
  <c r="N29" i="1"/>
  <c r="N28" i="1"/>
  <c r="N2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7" i="1"/>
  <c r="N18" i="1"/>
  <c r="N19" i="1"/>
  <c r="N20" i="1"/>
  <c r="N21" i="1"/>
  <c r="N22" i="1"/>
  <c r="N23" i="1"/>
  <c r="N24" i="1"/>
  <c r="N26" i="1"/>
  <c r="M34" i="1"/>
  <c r="M33" i="1"/>
  <c r="M32" i="1"/>
  <c r="M31" i="1"/>
  <c r="M30" i="1"/>
  <c r="M29" i="1"/>
  <c r="M28" i="1"/>
  <c r="M27" i="1"/>
  <c r="M25" i="1"/>
  <c r="M24" i="1"/>
  <c r="M23" i="1"/>
  <c r="M22" i="1"/>
  <c r="M20" i="1"/>
  <c r="M19" i="1"/>
  <c r="M18" i="1"/>
  <c r="M17" i="1"/>
  <c r="M16" i="1"/>
  <c r="M15" i="1"/>
  <c r="M14" i="1"/>
  <c r="M13" i="1"/>
  <c r="M11" i="1"/>
  <c r="M10" i="1"/>
  <c r="M9" i="1"/>
  <c r="M8" i="1"/>
  <c r="M6" i="1"/>
  <c r="M5" i="1"/>
  <c r="M4" i="1"/>
  <c r="M3" i="1"/>
  <c r="M7" i="1"/>
  <c r="M12" i="1"/>
  <c r="M21" i="1"/>
  <c r="M26" i="1"/>
  <c r="J34" i="1"/>
  <c r="H34" i="1"/>
  <c r="F34" i="1"/>
  <c r="J33" i="1"/>
  <c r="H33" i="1"/>
  <c r="J32" i="1"/>
  <c r="F32" i="1"/>
  <c r="J31" i="1"/>
  <c r="H31" i="1"/>
  <c r="H30" i="1"/>
  <c r="F30" i="1"/>
  <c r="J29" i="1"/>
  <c r="H29" i="1"/>
  <c r="H28" i="1"/>
  <c r="F28" i="1"/>
  <c r="J26" i="1"/>
  <c r="H26" i="1"/>
  <c r="F26" i="1"/>
  <c r="H25" i="1"/>
  <c r="F25" i="1"/>
  <c r="J24" i="1"/>
  <c r="F24" i="1"/>
  <c r="J21" i="1"/>
  <c r="H21" i="1"/>
  <c r="F21" i="1"/>
  <c r="J20" i="1"/>
  <c r="H20" i="1"/>
  <c r="F20" i="1"/>
  <c r="J18" i="1"/>
  <c r="H18" i="1"/>
  <c r="F18" i="1"/>
  <c r="J16" i="1"/>
  <c r="H16" i="1"/>
  <c r="F16" i="1"/>
  <c r="J14" i="1"/>
  <c r="H13" i="1"/>
  <c r="F13" i="1"/>
  <c r="J12" i="1"/>
  <c r="H12" i="1"/>
  <c r="F12" i="1"/>
  <c r="J11" i="1"/>
  <c r="H11" i="1"/>
  <c r="F10" i="1"/>
  <c r="J7" i="1"/>
  <c r="H7" i="1"/>
  <c r="F7" i="1"/>
  <c r="J4" i="1"/>
  <c r="H4" i="1"/>
  <c r="F4" i="1"/>
  <c r="J3" i="1"/>
  <c r="F3" i="1"/>
  <c r="J13" i="1"/>
  <c r="J15" i="1"/>
  <c r="J17" i="1"/>
  <c r="J19" i="1"/>
  <c r="J22" i="1"/>
  <c r="J23" i="1"/>
  <c r="J25" i="1"/>
  <c r="J27" i="1"/>
  <c r="J28" i="1"/>
  <c r="J30" i="1"/>
  <c r="H32" i="1"/>
  <c r="H27" i="1"/>
  <c r="H24" i="1"/>
  <c r="H23" i="1"/>
  <c r="H22" i="1"/>
  <c r="H19" i="1"/>
  <c r="H17" i="1"/>
  <c r="H15" i="1"/>
  <c r="H14" i="1"/>
  <c r="H10" i="1"/>
  <c r="H8" i="1"/>
  <c r="H3" i="1"/>
  <c r="F33" i="1"/>
  <c r="F31" i="1"/>
  <c r="F29" i="1"/>
  <c r="F27" i="1"/>
  <c r="F23" i="1"/>
  <c r="F22" i="1"/>
  <c r="F19" i="1"/>
  <c r="F17" i="1"/>
  <c r="F15" i="1"/>
  <c r="F11" i="1"/>
  <c r="E7" i="1"/>
  <c r="E33" i="1"/>
  <c r="E32" i="1"/>
  <c r="E31" i="1"/>
  <c r="E30" i="1"/>
  <c r="E29" i="1"/>
  <c r="E27" i="1"/>
  <c r="E26" i="1"/>
  <c r="E24" i="1"/>
  <c r="E23" i="1"/>
  <c r="E22" i="1"/>
  <c r="E20" i="1"/>
  <c r="E19" i="1"/>
  <c r="E18" i="1"/>
  <c r="E17" i="1"/>
  <c r="E16" i="1"/>
  <c r="E14" i="1"/>
  <c r="E13" i="1"/>
  <c r="E11" i="1"/>
  <c r="E10" i="1"/>
  <c r="E8" i="1"/>
  <c r="E12" i="1"/>
  <c r="E15" i="1"/>
  <c r="E21" i="1"/>
  <c r="E25" i="1"/>
  <c r="E28" i="1"/>
  <c r="E34" i="1"/>
  <c r="E3" i="1"/>
  <c r="K7" i="10" l="1"/>
  <c r="Q3" i="8"/>
  <c r="J4" i="8"/>
  <c r="F10" i="6"/>
  <c r="G10" i="6" s="1"/>
  <c r="I4" i="6"/>
  <c r="J4" i="6" s="1"/>
  <c r="H10" i="6"/>
  <c r="F11" i="6"/>
  <c r="G11" i="6" s="1"/>
  <c r="H11" i="6" s="1"/>
  <c r="K4" i="8"/>
  <c r="H2" i="3"/>
  <c r="G3" i="3"/>
  <c r="H3" i="3" s="1"/>
  <c r="G4" i="3" s="1"/>
  <c r="H4" i="3" s="1"/>
  <c r="G5" i="3" s="1"/>
  <c r="H5" i="3" s="1"/>
  <c r="G6" i="3" s="1"/>
  <c r="H6" i="3" s="1"/>
  <c r="N25" i="1"/>
  <c r="N16" i="1"/>
  <c r="M2" i="1"/>
  <c r="N2" i="1" s="1"/>
  <c r="J8" i="10" l="1"/>
  <c r="F12" i="6"/>
  <c r="G12" i="6" s="1"/>
  <c r="F13" i="6" s="1"/>
  <c r="G13" i="6" s="1"/>
  <c r="J5" i="8"/>
  <c r="C32" i="3"/>
  <c r="C14" i="3"/>
  <c r="C12" i="3"/>
  <c r="C30" i="3"/>
  <c r="C16" i="3"/>
  <c r="C9" i="3"/>
  <c r="C11" i="3"/>
  <c r="C20" i="3"/>
  <c r="C29" i="3"/>
  <c r="C27" i="3"/>
  <c r="C13" i="3"/>
  <c r="C33" i="3"/>
  <c r="C18" i="3"/>
  <c r="C34" i="3"/>
  <c r="C15" i="3"/>
  <c r="C31" i="3"/>
  <c r="C8" i="3"/>
  <c r="C24" i="3"/>
  <c r="C21" i="3"/>
  <c r="C17" i="3"/>
  <c r="C6" i="3"/>
  <c r="C22" i="3"/>
  <c r="C3" i="3"/>
  <c r="C19" i="3"/>
  <c r="C2" i="3"/>
  <c r="C28" i="3"/>
  <c r="C5" i="3"/>
  <c r="C25" i="3"/>
  <c r="C10" i="3"/>
  <c r="C26" i="3"/>
  <c r="C7" i="3"/>
  <c r="C23" i="3"/>
  <c r="C4" i="3"/>
  <c r="I2" i="3" l="1"/>
  <c r="K8" i="10"/>
  <c r="I11" i="6"/>
  <c r="H12" i="6"/>
  <c r="I12" i="6" s="1"/>
  <c r="J12" i="6" s="1"/>
  <c r="F14" i="6"/>
  <c r="G14" i="6" s="1"/>
  <c r="H13" i="6"/>
  <c r="I13" i="6" s="1"/>
  <c r="K5" i="8"/>
  <c r="I5" i="3"/>
  <c r="I6" i="3"/>
  <c r="I3" i="3"/>
  <c r="I4" i="3"/>
  <c r="F29" i="10" l="1"/>
  <c r="F24" i="10"/>
  <c r="F30" i="10"/>
  <c r="F3" i="10"/>
  <c r="F10" i="10"/>
  <c r="F20" i="10"/>
  <c r="F25" i="10"/>
  <c r="F26" i="10"/>
  <c r="F18" i="10"/>
  <c r="F23" i="10"/>
  <c r="F4" i="10"/>
  <c r="F27" i="10"/>
  <c r="F6" i="10"/>
  <c r="F19" i="10"/>
  <c r="F9" i="10"/>
  <c r="F34" i="10"/>
  <c r="F28" i="10"/>
  <c r="F31" i="10"/>
  <c r="F12" i="10"/>
  <c r="F15" i="10"/>
  <c r="F5" i="10"/>
  <c r="F7" i="10"/>
  <c r="F33" i="10"/>
  <c r="F17" i="10"/>
  <c r="F21" i="10"/>
  <c r="F14" i="10"/>
  <c r="F32" i="10"/>
  <c r="F2" i="10"/>
  <c r="L7" i="10" s="1"/>
  <c r="F8" i="10"/>
  <c r="F13" i="10"/>
  <c r="L6" i="10" s="1"/>
  <c r="F16" i="10"/>
  <c r="F11" i="10"/>
  <c r="F22" i="10"/>
  <c r="J13" i="6"/>
  <c r="H14" i="6"/>
  <c r="F15" i="6"/>
  <c r="G15" i="6" s="1"/>
  <c r="H15" i="6" s="1"/>
  <c r="J6" i="8"/>
  <c r="K2" i="3"/>
  <c r="K3" i="3" s="1"/>
  <c r="K4" i="3" s="1"/>
  <c r="K5" i="3" s="1"/>
  <c r="K6" i="3" s="1"/>
  <c r="I7" i="3"/>
  <c r="F9" i="3" s="1"/>
  <c r="L8" i="10" l="1"/>
  <c r="L5" i="10"/>
  <c r="L9" i="10" s="1"/>
  <c r="I14" i="6"/>
  <c r="J14" i="6" s="1"/>
  <c r="K6" i="8"/>
  <c r="J6" i="3"/>
  <c r="J3" i="3"/>
  <c r="J5" i="3"/>
  <c r="J4" i="3"/>
  <c r="J2" i="3"/>
  <c r="M6" i="10" l="1"/>
  <c r="M7" i="10"/>
  <c r="M8" i="10"/>
  <c r="M5" i="10"/>
  <c r="M9" i="10" s="1"/>
  <c r="F2" i="8"/>
  <c r="I15" i="6"/>
  <c r="J15" i="6" s="1"/>
  <c r="F24" i="8"/>
  <c r="F30" i="8"/>
  <c r="F34" i="8"/>
  <c r="F21" i="8"/>
  <c r="F12" i="8"/>
  <c r="F29" i="8"/>
  <c r="F6" i="8"/>
  <c r="F13" i="8"/>
  <c r="F9" i="8"/>
  <c r="F25" i="8"/>
  <c r="F22" i="8"/>
  <c r="F17" i="8"/>
  <c r="F20" i="8"/>
  <c r="F10" i="8"/>
  <c r="F23" i="8"/>
  <c r="F11" i="8"/>
  <c r="F19" i="8"/>
  <c r="F28" i="8"/>
  <c r="F27" i="8"/>
  <c r="F8" i="8"/>
  <c r="F15" i="8"/>
  <c r="F18" i="8"/>
  <c r="F31" i="8"/>
  <c r="F4" i="8"/>
  <c r="F5" i="8"/>
  <c r="F33" i="8"/>
  <c r="F14" i="8"/>
  <c r="F16" i="8"/>
  <c r="F3" i="8"/>
  <c r="F7" i="8"/>
  <c r="F32" i="8"/>
  <c r="F26" i="8"/>
  <c r="J7" i="3"/>
  <c r="L5" i="8" l="1"/>
  <c r="L4" i="8"/>
  <c r="L6" i="8"/>
  <c r="L3" i="8"/>
  <c r="R4" i="7"/>
  <c r="K4" i="7" s="1"/>
  <c r="R3" i="7"/>
  <c r="L7" i="8" l="1"/>
  <c r="M3" i="8" s="1"/>
  <c r="R6" i="7"/>
  <c r="R8" i="7" s="1"/>
  <c r="L4" i="7" s="1"/>
  <c r="K5" i="7" s="1"/>
  <c r="L5" i="7" s="1"/>
  <c r="I8" i="8" l="1"/>
  <c r="M5" i="8"/>
  <c r="M6" i="8"/>
  <c r="M4" i="8"/>
  <c r="K6" i="7"/>
  <c r="L6" i="7" s="1"/>
  <c r="K7" i="7" s="1"/>
  <c r="L7" i="7" s="1"/>
  <c r="K8" i="7" s="1"/>
  <c r="L8" i="7" s="1"/>
  <c r="M7" i="8" l="1"/>
  <c r="M7" i="7" l="1"/>
  <c r="M4" i="7"/>
  <c r="O4" i="7" s="1"/>
  <c r="M8" i="7"/>
  <c r="M6" i="7"/>
  <c r="M5" i="7"/>
  <c r="O5" i="7" l="1"/>
  <c r="O6" i="7" s="1"/>
  <c r="O7" i="7" s="1"/>
  <c r="O8" i="7" s="1"/>
  <c r="M9" i="7"/>
  <c r="N4" i="7" s="1"/>
  <c r="N8" i="7" l="1"/>
  <c r="J11" i="7"/>
  <c r="N5" i="7"/>
  <c r="N6" i="7"/>
  <c r="N9" i="7" s="1"/>
  <c r="N7" i="7"/>
</calcChain>
</file>

<file path=xl/sharedStrings.xml><?xml version="1.0" encoding="utf-8"?>
<sst xmlns="http://schemas.openxmlformats.org/spreadsheetml/2006/main" count="280" uniqueCount="80">
  <si>
    <t>Campaña/Año</t>
  </si>
  <si>
    <t>Tª /media anual (ºC)</t>
  </si>
  <si>
    <t>Duración Campaña (días)</t>
  </si>
  <si>
    <t>Aceituna (kgr)</t>
  </si>
  <si>
    <t>Virgen Extra (l.)</t>
  </si>
  <si>
    <t>Precio/medio VE (l).</t>
  </si>
  <si>
    <t>Virgen (l.)</t>
  </si>
  <si>
    <t>Precio/medio V (l.)</t>
  </si>
  <si>
    <t>Lampante (l.)</t>
  </si>
  <si>
    <t>Precio/medio L (l.)</t>
  </si>
  <si>
    <t>T.Aceite en bodega</t>
  </si>
  <si>
    <t>T.Valor Aceite</t>
  </si>
  <si>
    <t>Precipitaciones (l/m2)</t>
  </si>
  <si>
    <t>T.Aceite_Industrial (lts.)</t>
  </si>
  <si>
    <t>Nº.</t>
  </si>
  <si>
    <t>Muy Baja</t>
  </si>
  <si>
    <t>Baja</t>
  </si>
  <si>
    <t>Media</t>
  </si>
  <si>
    <t>Alta</t>
  </si>
  <si>
    <t>Muy Alta</t>
  </si>
  <si>
    <t>NIVELES</t>
  </si>
  <si>
    <t>TIPO CAMPAÑA</t>
  </si>
  <si>
    <t>1º.- Tipo de Campaña según Precipitaciones anuales, tenemos los siguientes niveles = 1.-Muy Baja, 2.- Baja, 3.- Media, 4.- Alta y 5.- Muy Alta</t>
  </si>
  <si>
    <t>Linferior</t>
  </si>
  <si>
    <t>Lsuperior</t>
  </si>
  <si>
    <t>Fabsoluta</t>
  </si>
  <si>
    <t>FAcumulada</t>
  </si>
  <si>
    <t>FRelativa</t>
  </si>
  <si>
    <t>2º.- Calculamos el Máximo y el Minimo</t>
  </si>
  <si>
    <t>MAXIMO</t>
  </si>
  <si>
    <t>MINIMO</t>
  </si>
  <si>
    <t>RANGO</t>
  </si>
  <si>
    <t>TIPOS</t>
  </si>
  <si>
    <t>Amplitud</t>
  </si>
  <si>
    <t>TOTAL</t>
  </si>
  <si>
    <t>Cod. Tipo</t>
  </si>
  <si>
    <t>COMPROBACION</t>
  </si>
  <si>
    <t>Años</t>
  </si>
  <si>
    <t>Li</t>
  </si>
  <si>
    <t>Ls</t>
  </si>
  <si>
    <t>Minimo</t>
  </si>
  <si>
    <t>Máximo</t>
  </si>
  <si>
    <t>3º.- Calculo clase/tipo (Cod. Tipo)- Ver fórmula casilla C2 -  =SI.CONJUNTO(B2….................)</t>
  </si>
  <si>
    <t xml:space="preserve">4º.- Calculo de las Frecuencias Absolutas- Columna I - Ver formula I2 -     =CONTAR.SI(C:C);E2) </t>
  </si>
  <si>
    <t xml:space="preserve">          MAXIMO</t>
  </si>
  <si>
    <t xml:space="preserve">          MINIMO</t>
  </si>
  <si>
    <t>5º.- Gráfico: con niveles Frecuenca Relativa - 1º Seleccionamos los Niveles de G2:G5, y 2º Control sin soltar en J2 y arrastramos hasta J5</t>
  </si>
  <si>
    <t>1º.- Tipo de Campaña según según Producción Kgrs. Aceituna, tenemos los siguientes niveles = 1.-Muy Baja, 2.- Baja, 3.- Media, 4.- Alta y 5.- Muy Alta</t>
  </si>
  <si>
    <t>TABLA DISTRIBUCIÓN DE FRECUENCIAS=CAMPAÑAS S/Kgrs. Producción de Aceituna</t>
  </si>
  <si>
    <t>MEDIANA</t>
  </si>
  <si>
    <t>MEDIA</t>
  </si>
  <si>
    <t>Cod. Precip.</t>
  </si>
  <si>
    <t>Promedio Pº.</t>
  </si>
  <si>
    <t>Tª.MediaXTrienio</t>
  </si>
  <si>
    <t>y = 226x - 57</t>
  </si>
  <si>
    <t>BAJA</t>
  </si>
  <si>
    <t>ALTA</t>
  </si>
  <si>
    <t>MUY ALTA</t>
  </si>
  <si>
    <t>Cod. Tª.media</t>
  </si>
  <si>
    <t>1º.- Tipo de Campaña según según Temperaturas medias anuales, tenemos los siguientes niveles = 1.-Baja, 2.- Media, 3.- Alta, 4.- Muy Alta</t>
  </si>
  <si>
    <t>TOTALES</t>
  </si>
  <si>
    <t>TABLA FRECUENCIAS -TEMPERATURAS MEDIAS ANUALES</t>
  </si>
  <si>
    <t>VARIABLE INDEPENDIENT-PRECIPITACIONES -TABLA DE FRECUENCIAS</t>
  </si>
  <si>
    <t>VARIABLE INDEPENDIENTE-TEMPERATURAS MEDIAS ANUALES -TABLA DE FRECUENCIAS</t>
  </si>
  <si>
    <t>Pº.Aceituna</t>
  </si>
  <si>
    <t xml:space="preserve">Gráfico sectores Frecuencia relativa x Niveles-Pº. Aceituna </t>
  </si>
  <si>
    <t>Distribución de Frecuencias:</t>
  </si>
  <si>
    <t>Promedio Pº.Aceituna</t>
  </si>
  <si>
    <t>Variación promedio Pº.Aceituna respecto a niveles/clases de campañas según las Temperaturas medias anuales</t>
  </si>
  <si>
    <t>Variación Promedio de Pº.Aceituna respecto a los niveles/clases según precipitaciones</t>
  </si>
  <si>
    <t>Regresión- Variación/Estudio de la Pº.Aceituna en el tiempo</t>
  </si>
  <si>
    <t>Pasos-Distribución de frecuencias- Temperaturas medias anuales</t>
  </si>
  <si>
    <t>Diagrama sectores-Frecuencia relativa (%) de los niveles/clases de campaña según Temperaturas media anual</t>
  </si>
  <si>
    <t>Gráfico lineal-Variacion Tª.MediaXTrienio</t>
  </si>
  <si>
    <t>Pasos -Distribución de frecuencias- Precipitaciones anuales</t>
  </si>
  <si>
    <t>Diagrama de sectores- Precipitaciones anuales</t>
  </si>
  <si>
    <t>Estudio -Tª/media anual - 5 Años</t>
  </si>
  <si>
    <t>No nos va a valer- R2 Bajo</t>
  </si>
  <si>
    <t>Estudio -Tª/media anual - 3 Años</t>
  </si>
  <si>
    <t>Si nos puede valer- R2 próximo 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</si>
</sst>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1" fontId="0" fillId="0" borderId="0" xfId="0" applyNumberFormat="1"/>
    <xf numFmtId="164" fontId="0" fillId="0" borderId="0" xfId="0" applyNumberFormat="1"/>
    <xf numFmtId="9" fontId="0" fillId="0" borderId="0" xfId="1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1" fontId="1" fillId="0" borderId="0" xfId="0" applyNumberFormat="1" applyFont="1"/>
    <xf numFmtId="1" fontId="3" fillId="0" borderId="0" xfId="0" applyNumberFormat="1" applyFont="1"/>
    <xf numFmtId="1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9" fontId="1" fillId="2" borderId="0" xfId="1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9" fontId="0" fillId="7" borderId="0" xfId="1" applyFont="1" applyFill="1"/>
    <xf numFmtId="9" fontId="0" fillId="10" borderId="0" xfId="1" applyFont="1" applyFill="1"/>
    <xf numFmtId="9" fontId="0" fillId="5" borderId="0" xfId="1" applyFont="1" applyFill="1"/>
    <xf numFmtId="9" fontId="0" fillId="4" borderId="0" xfId="1" applyFont="1" applyFill="1"/>
    <xf numFmtId="9" fontId="0" fillId="9" borderId="0" xfId="1" applyFont="1" applyFill="1"/>
    <xf numFmtId="0" fontId="1" fillId="11" borderId="0" xfId="0" applyFont="1" applyFill="1"/>
    <xf numFmtId="0" fontId="0" fillId="11" borderId="0" xfId="0" applyFill="1"/>
    <xf numFmtId="9" fontId="1" fillId="11" borderId="0" xfId="1" applyFont="1" applyFill="1"/>
    <xf numFmtId="9" fontId="0" fillId="0" borderId="0" xfId="0" applyNumberFormat="1"/>
    <xf numFmtId="0" fontId="0" fillId="12" borderId="0" xfId="0" applyFill="1"/>
    <xf numFmtId="0" fontId="0" fillId="13" borderId="0" xfId="0" applyFill="1"/>
    <xf numFmtId="9" fontId="1" fillId="11" borderId="0" xfId="0" applyNumberFormat="1" applyFont="1" applyFill="1"/>
    <xf numFmtId="2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Fill="1"/>
    <xf numFmtId="0" fontId="1" fillId="10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9" fontId="0" fillId="11" borderId="0" xfId="0" applyNumberFormat="1" applyFill="1"/>
    <xf numFmtId="2" fontId="0" fillId="3" borderId="0" xfId="0" applyNumberFormat="1" applyFill="1"/>
    <xf numFmtId="165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0" fillId="17" borderId="2" xfId="0" applyFill="1" applyBorder="1"/>
    <xf numFmtId="1" fontId="6" fillId="0" borderId="0" xfId="0" applyNumberFormat="1" applyFont="1"/>
    <xf numFmtId="1" fontId="0" fillId="0" borderId="0" xfId="0" applyNumberFormat="1" applyFill="1"/>
  </cellXfs>
  <cellStyles count="2">
    <cellStyle name="Normal" xfId="0" builtinId="0"/>
    <cellStyle name="Porcentaje" xfId="1" builtinId="5"/>
  </cellStyles>
  <dxfs count="2"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colors>
    <mruColors>
      <color rgb="FF007BB8"/>
      <color rgb="FF66FFFF"/>
      <color rgb="FF55BEC9"/>
      <color rgb="FF57BA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22"/>
          <c:y val="0.12078703703703704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'Analisis Expl.+Regres. '!$Q$2</c:f>
              <c:strCache>
                <c:ptCount val="1"/>
                <c:pt idx="0">
                  <c:v>Promedio Pº.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551618547681548E-3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cat>
            <c:strRef>
              <c:f>'Analisis Expl.+Regres. '!$I$3:$I$6</c:f>
              <c:strCache>
                <c:ptCount val="4"/>
                <c:pt idx="0">
                  <c:v>Muy Baja</c:v>
                </c:pt>
                <c:pt idx="1">
                  <c:v>Baja</c:v>
                </c:pt>
                <c:pt idx="2">
                  <c:v>Media</c:v>
                </c:pt>
                <c:pt idx="3">
                  <c:v>Alta</c:v>
                </c:pt>
              </c:strCache>
            </c:strRef>
          </c:cat>
          <c:val>
            <c:numRef>
              <c:f>'Analisis Expl.+Regres. '!$Q$3:$Q$6</c:f>
              <c:numCache>
                <c:formatCode>General</c:formatCode>
                <c:ptCount val="4"/>
                <c:pt idx="0">
                  <c:v>1349437.175189055</c:v>
                </c:pt>
                <c:pt idx="1">
                  <c:v>2128984.4760352308</c:v>
                </c:pt>
                <c:pt idx="2">
                  <c:v>4852118.4210526319</c:v>
                </c:pt>
                <c:pt idx="3">
                  <c:v>6300784.3137254901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968-8F21-0616FBAE7E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3613552"/>
        <c:axId val="2063594352"/>
      </c:barChart>
      <c:catAx>
        <c:axId val="206361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3594352"/>
        <c:crosses val="autoZero"/>
        <c:auto val="1"/>
        <c:lblAlgn val="ctr"/>
        <c:lblOffset val="100"/>
        <c:noMultiLvlLbl val="0"/>
      </c:catAx>
      <c:valAx>
        <c:axId val="20635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361355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Pº.Aceituna</a:t>
            </a:r>
            <a:endParaRPr lang="es-ES"/>
          </a:p>
        </c:rich>
      </c:tx>
      <c:layout>
        <c:manualLayout>
          <c:xMode val="edge"/>
          <c:yMode val="edge"/>
          <c:x val="0.1484860017497812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5024671916010499"/>
                  <c:y val="-0.181894138232720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cat>
            <c:strRef>
              <c:f>'Analisis Expl.+Regres. '!$I$26:$I$29</c:f>
              <c:strCache>
                <c:ptCount val="4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  <c:pt idx="3">
                  <c:v>MUY ALTA</c:v>
                </c:pt>
              </c:strCache>
            </c:strRef>
          </c:cat>
          <c:val>
            <c:numRef>
              <c:f>'Analisis Expl.+Regres. '!$Q$25:$Q$28</c:f>
              <c:numCache>
                <c:formatCode>0</c:formatCode>
                <c:ptCount val="4"/>
                <c:pt idx="0">
                  <c:v>3465808.9668615982</c:v>
                </c:pt>
                <c:pt idx="1">
                  <c:v>2625178.1149461376</c:v>
                </c:pt>
                <c:pt idx="2">
                  <c:v>2686104.8264600895</c:v>
                </c:pt>
                <c:pt idx="3">
                  <c:v>3486226.5107212476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6-46DE-B50E-06AF059E2A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9389968"/>
        <c:axId val="439391048"/>
      </c:barChart>
      <c:catAx>
        <c:axId val="4393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9391048"/>
        <c:crosses val="autoZero"/>
        <c:auto val="1"/>
        <c:lblAlgn val="ctr"/>
        <c:lblOffset val="100"/>
        <c:noMultiLvlLbl val="0"/>
      </c:catAx>
      <c:valAx>
        <c:axId val="43939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938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'Regresion Precipitaciones'!$B$1</c:f>
              <c:strCache>
                <c:ptCount val="1"/>
                <c:pt idx="0">
                  <c:v>Precipitaciones (l/m2)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9199713201624E-2"/>
                  <c:y val="-0.423040041293905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'Regresion Precipitaciones'!$A$2:$A$34</c:f>
              <c:numCache>
                <c:formatCode>General</c:formatCode>
                <c:ptCount val="3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</c:numCache>
            </c:numRef>
          </c:xVal>
          <c:yVal>
            <c:numRef>
              <c:f>'Regresion Precipitaciones'!$B$2:$B$34</c:f>
              <c:numCache>
                <c:formatCode>General</c:formatCode>
                <c:ptCount val="33"/>
                <c:pt idx="0">
                  <c:v>488</c:v>
                </c:pt>
                <c:pt idx="1">
                  <c:v>306</c:v>
                </c:pt>
                <c:pt idx="2">
                  <c:v>169</c:v>
                </c:pt>
                <c:pt idx="3">
                  <c:v>244</c:v>
                </c:pt>
                <c:pt idx="4">
                  <c:v>679</c:v>
                </c:pt>
                <c:pt idx="5">
                  <c:v>797</c:v>
                </c:pt>
                <c:pt idx="6">
                  <c:v>732</c:v>
                </c:pt>
                <c:pt idx="7">
                  <c:v>273</c:v>
                </c:pt>
                <c:pt idx="8">
                  <c:v>506</c:v>
                </c:pt>
                <c:pt idx="9">
                  <c:v>693</c:v>
                </c:pt>
                <c:pt idx="10">
                  <c:v>468</c:v>
                </c:pt>
                <c:pt idx="11">
                  <c:v>537</c:v>
                </c:pt>
                <c:pt idx="12">
                  <c:v>565</c:v>
                </c:pt>
                <c:pt idx="13">
                  <c:v>245</c:v>
                </c:pt>
                <c:pt idx="14">
                  <c:v>525</c:v>
                </c:pt>
                <c:pt idx="15">
                  <c:v>412</c:v>
                </c:pt>
                <c:pt idx="16">
                  <c:v>538</c:v>
                </c:pt>
                <c:pt idx="17">
                  <c:v>561</c:v>
                </c:pt>
                <c:pt idx="18">
                  <c:v>988</c:v>
                </c:pt>
                <c:pt idx="19">
                  <c:v>747</c:v>
                </c:pt>
                <c:pt idx="20">
                  <c:v>266</c:v>
                </c:pt>
                <c:pt idx="21">
                  <c:v>1073</c:v>
                </c:pt>
                <c:pt idx="22">
                  <c:v>525</c:v>
                </c:pt>
                <c:pt idx="23">
                  <c:v>434</c:v>
                </c:pt>
                <c:pt idx="24">
                  <c:v>554</c:v>
                </c:pt>
                <c:pt idx="25">
                  <c:v>461</c:v>
                </c:pt>
                <c:pt idx="26">
                  <c:v>787</c:v>
                </c:pt>
                <c:pt idx="27">
                  <c:v>392</c:v>
                </c:pt>
                <c:pt idx="28">
                  <c:v>700</c:v>
                </c:pt>
                <c:pt idx="29">
                  <c:v>524</c:v>
                </c:pt>
                <c:pt idx="30">
                  <c:v>476</c:v>
                </c:pt>
                <c:pt idx="31">
                  <c:v>413</c:v>
                </c:pt>
                <c:pt idx="32">
                  <c:v>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F-4DD3-B637-75F632D6C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001536"/>
        <c:axId val="1925993856"/>
      </c:scatterChart>
      <c:valAx>
        <c:axId val="192600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5993856"/>
        <c:crosses val="autoZero"/>
        <c:crossBetween val="midCat"/>
      </c:valAx>
      <c:valAx>
        <c:axId val="19259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00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Pº.Aceituna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'Dist.Frecu. y RegresPº.Aceituna'!$N$3</c:f>
              <c:strCache>
                <c:ptCount val="1"/>
                <c:pt idx="0">
                  <c:v>FRelativa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5D-452B-980C-4A25FFF388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5D-452B-980C-4A25FFF388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5D-452B-980C-4A25FFF388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5D-452B-980C-4A25FFF3884D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05D-452B-980C-4A25FFF388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'Dist.Frecu. y RegresPº.Aceituna'!$J$4:$J$8</c:f>
              <c:strCache>
                <c:ptCount val="5"/>
                <c:pt idx="0">
                  <c:v>Muy Baja</c:v>
                </c:pt>
                <c:pt idx="1">
                  <c:v>Baja</c:v>
                </c:pt>
                <c:pt idx="2">
                  <c:v>Media</c:v>
                </c:pt>
                <c:pt idx="3">
                  <c:v>Alta</c:v>
                </c:pt>
                <c:pt idx="4">
                  <c:v>Muy Alta</c:v>
                </c:pt>
              </c:strCache>
            </c:strRef>
          </c:cat>
          <c:val>
            <c:numRef>
              <c:f>'Dist.Frecu. y RegresPº.Aceituna'!$N$4:$N$8</c:f>
              <c:numCache>
                <c:formatCode>0%</c:formatCode>
                <c:ptCount val="5"/>
                <c:pt idx="0">
                  <c:v>0.48484848484848486</c:v>
                </c:pt>
                <c:pt idx="1">
                  <c:v>0.33333333333333331</c:v>
                </c:pt>
                <c:pt idx="2">
                  <c:v>3.0303030303030304E-2</c:v>
                </c:pt>
                <c:pt idx="3">
                  <c:v>9.0909090909090912E-2</c:v>
                </c:pt>
                <c:pt idx="4">
                  <c:v>6.0606060606060608E-2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C-4CD5-91D9-E0AFE06F19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Pº.</a:t>
            </a:r>
            <a:r>
              <a:rPr lang="en-US" baseline="0"/>
              <a:t> </a:t>
            </a:r>
            <a:r>
              <a:rPr lang="en-US"/>
              <a:t>Aceituna (kgr)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'Dist.Frecu. y RegresPº.Aceituna'!$D$1</c:f>
              <c:strCache>
                <c:ptCount val="1"/>
                <c:pt idx="0">
                  <c:v>Aceituna (kgr)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023542947542517"/>
                  <c:y val="-0.153946981504323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cat>
            <c:numRef>
              <c:f>'Dist.Frecu. y RegresPº.Aceituna'!$A$2:$A$34</c:f>
              <c:numCache>
                <c:formatCode>General</c:formatCode>
                <c:ptCount val="33"/>
                <c:pt idx="0">
                  <c:v>1995</c:v>
                </c:pt>
                <c:pt idx="1">
                  <c:v>1994</c:v>
                </c:pt>
                <c:pt idx="2">
                  <c:v>2012</c:v>
                </c:pt>
                <c:pt idx="3">
                  <c:v>2022</c:v>
                </c:pt>
                <c:pt idx="4">
                  <c:v>2023</c:v>
                </c:pt>
                <c:pt idx="5">
                  <c:v>2014</c:v>
                </c:pt>
                <c:pt idx="6">
                  <c:v>1992</c:v>
                </c:pt>
                <c:pt idx="7">
                  <c:v>1999</c:v>
                </c:pt>
                <c:pt idx="8">
                  <c:v>2005</c:v>
                </c:pt>
                <c:pt idx="9">
                  <c:v>1997</c:v>
                </c:pt>
                <c:pt idx="10">
                  <c:v>2002</c:v>
                </c:pt>
                <c:pt idx="11">
                  <c:v>2019</c:v>
                </c:pt>
                <c:pt idx="12">
                  <c:v>2017</c:v>
                </c:pt>
                <c:pt idx="13">
                  <c:v>2000</c:v>
                </c:pt>
                <c:pt idx="14">
                  <c:v>2006</c:v>
                </c:pt>
                <c:pt idx="15">
                  <c:v>2009</c:v>
                </c:pt>
                <c:pt idx="16">
                  <c:v>2008</c:v>
                </c:pt>
                <c:pt idx="17">
                  <c:v>1998</c:v>
                </c:pt>
                <c:pt idx="18">
                  <c:v>2018</c:v>
                </c:pt>
                <c:pt idx="19">
                  <c:v>2016</c:v>
                </c:pt>
                <c:pt idx="20">
                  <c:v>2004</c:v>
                </c:pt>
                <c:pt idx="21">
                  <c:v>2015</c:v>
                </c:pt>
                <c:pt idx="22">
                  <c:v>2021</c:v>
                </c:pt>
                <c:pt idx="23">
                  <c:v>1993</c:v>
                </c:pt>
                <c:pt idx="24">
                  <c:v>2007</c:v>
                </c:pt>
                <c:pt idx="25">
                  <c:v>2011</c:v>
                </c:pt>
                <c:pt idx="26">
                  <c:v>2003</c:v>
                </c:pt>
                <c:pt idx="27">
                  <c:v>2013</c:v>
                </c:pt>
                <c:pt idx="28">
                  <c:v>1996</c:v>
                </c:pt>
                <c:pt idx="29">
                  <c:v>2020</c:v>
                </c:pt>
                <c:pt idx="30">
                  <c:v>2024</c:v>
                </c:pt>
                <c:pt idx="31">
                  <c:v>2010</c:v>
                </c:pt>
                <c:pt idx="32">
                  <c:v>2001</c:v>
                </c:pt>
              </c:numCache>
            </c:numRef>
          </c:cat>
          <c:val>
            <c:numRef>
              <c:f>'Dist.Frecu. y RegresPº.Aceituna'!$D$2:$D$34</c:f>
              <c:numCache>
                <c:formatCode>0</c:formatCode>
                <c:ptCount val="33"/>
                <c:pt idx="0">
                  <c:v>510526.31578947365</c:v>
                </c:pt>
                <c:pt idx="1">
                  <c:v>776190.47619047621</c:v>
                </c:pt>
                <c:pt idx="2">
                  <c:v>777777.77777777775</c:v>
                </c:pt>
                <c:pt idx="3">
                  <c:v>1052631.5789473683</c:v>
                </c:pt>
                <c:pt idx="4">
                  <c:v>1194444.4444444445</c:v>
                </c:pt>
                <c:pt idx="5">
                  <c:v>1218947.3684210526</c:v>
                </c:pt>
                <c:pt idx="6">
                  <c:v>1226315.7894736843</c:v>
                </c:pt>
                <c:pt idx="7">
                  <c:v>1375000</c:v>
                </c:pt>
                <c:pt idx="8">
                  <c:v>1400000</c:v>
                </c:pt>
                <c:pt idx="9">
                  <c:v>1500000</c:v>
                </c:pt>
                <c:pt idx="10">
                  <c:v>1780952.3809523811</c:v>
                </c:pt>
                <c:pt idx="11">
                  <c:v>1795454.5454545454</c:v>
                </c:pt>
                <c:pt idx="12">
                  <c:v>2008733.3333333333</c:v>
                </c:pt>
                <c:pt idx="13">
                  <c:v>2104545.4545454546</c:v>
                </c:pt>
                <c:pt idx="14">
                  <c:v>2140909.0909090908</c:v>
                </c:pt>
                <c:pt idx="15">
                  <c:v>2155277.777777778</c:v>
                </c:pt>
                <c:pt idx="16">
                  <c:v>2170000</c:v>
                </c:pt>
                <c:pt idx="17">
                  <c:v>2242105.2631578948</c:v>
                </c:pt>
                <c:pt idx="18">
                  <c:v>2395105.2631578948</c:v>
                </c:pt>
                <c:pt idx="19">
                  <c:v>2409523.8095238097</c:v>
                </c:pt>
                <c:pt idx="20">
                  <c:v>2476470.588235294</c:v>
                </c:pt>
                <c:pt idx="21">
                  <c:v>2694444.4444444445</c:v>
                </c:pt>
                <c:pt idx="22">
                  <c:v>2777777.777777778</c:v>
                </c:pt>
                <c:pt idx="23">
                  <c:v>2811111.111111111</c:v>
                </c:pt>
                <c:pt idx="24">
                  <c:v>3075000</c:v>
                </c:pt>
                <c:pt idx="25">
                  <c:v>3563157.8947368423</c:v>
                </c:pt>
                <c:pt idx="26">
                  <c:v>3577777.777777778</c:v>
                </c:pt>
                <c:pt idx="27">
                  <c:v>5013333.333333334</c:v>
                </c:pt>
                <c:pt idx="28">
                  <c:v>6360000</c:v>
                </c:pt>
                <c:pt idx="29">
                  <c:v>6842105.2631578948</c:v>
                </c:pt>
                <c:pt idx="30">
                  <c:v>7125000</c:v>
                </c:pt>
                <c:pt idx="31">
                  <c:v>7588235.2941176463</c:v>
                </c:pt>
                <c:pt idx="32">
                  <c:v>8789473.6842105258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88-42BB-AAC1-D5159319E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563104"/>
        <c:axId val="1169565504"/>
      </c:lineChart>
      <c:catAx>
        <c:axId val="11695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9565504"/>
        <c:crosses val="autoZero"/>
        <c:auto val="1"/>
        <c:lblAlgn val="ctr"/>
        <c:lblOffset val="100"/>
        <c:noMultiLvlLbl val="0"/>
      </c:catAx>
      <c:valAx>
        <c:axId val="11695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95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Correlación</a:t>
            </a:r>
            <a:r>
              <a:rPr lang="es-ES" baseline="0"/>
              <a:t> Campaña/Año con Pº.Aceituna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3144A85-A9F9-49A6-BB7A-9622AEFCA10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8CF-4C9F-875E-D5F8D0ADD0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BF91D2-70E0-4D5B-A64F-342B81A7EC1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8CF-4C9F-875E-D5F8D0ADD0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6F9CD07-D6C5-4C6E-9947-AC13E567C05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CF-4C9F-875E-D5F8D0ADD0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92D043-B4B9-4CAF-B288-AF64772F439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8CF-4C9F-875E-D5F8D0ADD0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B9A4AD-7995-427C-A027-A8B16CC8396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CF-4C9F-875E-D5F8D0ADD09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835B50-820C-4B88-9A46-00F4A92CF92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CF-4C9F-875E-D5F8D0ADD09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5EAD6D-9771-4A68-830F-A9E1FE655C1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CF-4C9F-875E-D5F8D0ADD09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B7BED7-11FA-4DEB-9392-CFED49FD68E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CF-4C9F-875E-D5F8D0ADD09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864407E-7D69-484D-BA40-2ED9EDB8164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CF-4C9F-875E-D5F8D0ADD09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FBF5C02-B1E9-4849-8955-267530DD515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8CF-4C9F-875E-D5F8D0ADD09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CE2D8E6-4E96-4C45-A5C6-D240D508C18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8CF-4C9F-875E-D5F8D0ADD09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1CAFEFF-8DD0-4FE4-8705-FD8665CEBB0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8CF-4C9F-875E-D5F8D0ADD09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0CBD87E-BDF6-4E1A-8120-B52129E0133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8CF-4C9F-875E-D5F8D0ADD09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973BF50-B3C5-4E23-9B83-B452880C540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8CF-4C9F-875E-D5F8D0ADD09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84C0A73-3E4E-4676-B733-001D08B77A0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8CF-4C9F-875E-D5F8D0ADD09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22B6DDE-C7B5-4FA4-93B5-778A71D1BAD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8CF-4C9F-875E-D5F8D0ADD09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6A949A9-7699-4012-BC21-C836D5BCB8A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8CF-4C9F-875E-D5F8D0ADD09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9058454-0203-4330-B10C-A51E837A449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8CF-4C9F-875E-D5F8D0ADD09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D372227-D8A9-4A6E-A6D5-6F70C580EB4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CF-4C9F-875E-D5F8D0ADD09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19205CB-B7DC-4CBF-812C-7BDE9F988D4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8CF-4C9F-875E-D5F8D0ADD09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1016D09-782F-4EB1-A4AA-AF084686D18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8CF-4C9F-875E-D5F8D0ADD09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F8A4777-22B1-477D-98B1-30AD73DFEF3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8CF-4C9F-875E-D5F8D0ADD09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2719320-8F16-433F-A910-FABE01F7623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8CF-4C9F-875E-D5F8D0ADD09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984C00D-5CA9-4850-9426-FD4FDC0F250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8CF-4C9F-875E-D5F8D0ADD09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C4EC31C-5290-4431-B33B-993404971E8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8CF-4C9F-875E-D5F8D0ADD09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7CF2B5A-1FCB-4A67-803B-30252926471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8CF-4C9F-875E-D5F8D0ADD09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AE2BB09-71B5-4297-A287-2FCE87D8062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8CF-4C9F-875E-D5F8D0ADD09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5CA7F4C-BFED-48AA-9041-A47EADF127D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CF-4C9F-875E-D5F8D0ADD09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5A1A4DE-17FC-4FC0-AD3B-512E96B76CD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8CF-4C9F-875E-D5F8D0ADD09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F53CB0C-F3B5-40ED-8CEB-716DD9A3FE0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CF-4C9F-875E-D5F8D0ADD09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2CC1B94-3ED3-43B6-A68B-F27166DCDF0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CF-4C9F-875E-D5F8D0ADD09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726698D-3DE5-49ED-A73B-8FB89CB5580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8CF-4C9F-875E-D5F8D0ADD09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2371091-6A67-491E-8965-D487ABBF562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8CF-4C9F-875E-D5F8D0ADD0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'Correlacion Año con Pº.Aceituna'!$A$2:$A$34</c:f>
              <c:numCache>
                <c:formatCode>General</c:formatCode>
                <c:ptCount val="3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'Correlacion Año con Pº.Aceituna'!$B$2:$B$34</c:f>
              <c:numCache>
                <c:formatCode>0</c:formatCode>
                <c:ptCount val="33"/>
                <c:pt idx="0">
                  <c:v>1226315.7894736843</c:v>
                </c:pt>
                <c:pt idx="1">
                  <c:v>2811111.111111111</c:v>
                </c:pt>
                <c:pt idx="2">
                  <c:v>776190.47619047621</c:v>
                </c:pt>
                <c:pt idx="3">
                  <c:v>510526.31578947365</c:v>
                </c:pt>
                <c:pt idx="4">
                  <c:v>6360000</c:v>
                </c:pt>
                <c:pt idx="5">
                  <c:v>1500000</c:v>
                </c:pt>
                <c:pt idx="6">
                  <c:v>2242105.2631578948</c:v>
                </c:pt>
                <c:pt idx="7">
                  <c:v>1375000</c:v>
                </c:pt>
                <c:pt idx="8">
                  <c:v>2104545.4545454546</c:v>
                </c:pt>
                <c:pt idx="9">
                  <c:v>8789473.6842105258</c:v>
                </c:pt>
                <c:pt idx="10">
                  <c:v>1780952.3809523811</c:v>
                </c:pt>
                <c:pt idx="11">
                  <c:v>3577777.777777778</c:v>
                </c:pt>
                <c:pt idx="12">
                  <c:v>2476470.588235294</c:v>
                </c:pt>
                <c:pt idx="13">
                  <c:v>1400000</c:v>
                </c:pt>
                <c:pt idx="14">
                  <c:v>2140909.0909090908</c:v>
                </c:pt>
                <c:pt idx="15">
                  <c:v>3075000</c:v>
                </c:pt>
                <c:pt idx="16">
                  <c:v>2170000</c:v>
                </c:pt>
                <c:pt idx="17">
                  <c:v>2155277.777777778</c:v>
                </c:pt>
                <c:pt idx="18">
                  <c:v>7588235.2941176463</c:v>
                </c:pt>
                <c:pt idx="19">
                  <c:v>3563157.8947368423</c:v>
                </c:pt>
                <c:pt idx="20">
                  <c:v>777777.77777777775</c:v>
                </c:pt>
                <c:pt idx="21">
                  <c:v>5013333.333333334</c:v>
                </c:pt>
                <c:pt idx="22">
                  <c:v>1218947.3684210526</c:v>
                </c:pt>
                <c:pt idx="23">
                  <c:v>2694444.4444444445</c:v>
                </c:pt>
                <c:pt idx="24">
                  <c:v>2409523.8095238097</c:v>
                </c:pt>
                <c:pt idx="25">
                  <c:v>2008733.3333333333</c:v>
                </c:pt>
                <c:pt idx="26">
                  <c:v>2395105.2631578948</c:v>
                </c:pt>
                <c:pt idx="27">
                  <c:v>1795454.5454545454</c:v>
                </c:pt>
                <c:pt idx="28">
                  <c:v>6842105.2631578948</c:v>
                </c:pt>
                <c:pt idx="29">
                  <c:v>2777777.777777778</c:v>
                </c:pt>
                <c:pt idx="30">
                  <c:v>1052631.5789473683</c:v>
                </c:pt>
                <c:pt idx="31">
                  <c:v>1194444.4444444445</c:v>
                </c:pt>
                <c:pt idx="32">
                  <c:v>7125000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'Correlacion Año con Pº.Aceituna'!$C$2:$C$34</c15:f>
                <c15:dlblRangeCache>
                  <c:ptCount val="33"/>
                  <c:pt idx="0">
                    <c:v>Muy Baja</c:v>
                  </c:pt>
                  <c:pt idx="1">
                    <c:v>Baja</c:v>
                  </c:pt>
                  <c:pt idx="2">
                    <c:v>Muy Baja</c:v>
                  </c:pt>
                  <c:pt idx="3">
                    <c:v>Muy Baja</c:v>
                  </c:pt>
                  <c:pt idx="4">
                    <c:v>Alta</c:v>
                  </c:pt>
                  <c:pt idx="5">
                    <c:v>Muy Baja</c:v>
                  </c:pt>
                  <c:pt idx="6">
                    <c:v>Baja</c:v>
                  </c:pt>
                  <c:pt idx="7">
                    <c:v>Muy Baja</c:v>
                  </c:pt>
                  <c:pt idx="8">
                    <c:v>Muy Baja</c:v>
                  </c:pt>
                  <c:pt idx="9">
                    <c:v>Muy Alta</c:v>
                  </c:pt>
                  <c:pt idx="10">
                    <c:v>Muy Baja</c:v>
                  </c:pt>
                  <c:pt idx="11">
                    <c:v>Baja</c:v>
                  </c:pt>
                  <c:pt idx="12">
                    <c:v>Baja</c:v>
                  </c:pt>
                  <c:pt idx="13">
                    <c:v>Muy Baja</c:v>
                  </c:pt>
                  <c:pt idx="14">
                    <c:v>Muy Baja</c:v>
                  </c:pt>
                  <c:pt idx="15">
                    <c:v>Baja</c:v>
                  </c:pt>
                  <c:pt idx="16">
                    <c:v>Baja</c:v>
                  </c:pt>
                  <c:pt idx="17">
                    <c:v>Muy Baja</c:v>
                  </c:pt>
                  <c:pt idx="18">
                    <c:v>Muy Alta</c:v>
                  </c:pt>
                  <c:pt idx="19">
                    <c:v>Baja</c:v>
                  </c:pt>
                  <c:pt idx="20">
                    <c:v>Muy Baja</c:v>
                  </c:pt>
                  <c:pt idx="21">
                    <c:v>Media</c:v>
                  </c:pt>
                  <c:pt idx="22">
                    <c:v>Muy Baja</c:v>
                  </c:pt>
                  <c:pt idx="23">
                    <c:v>Baja</c:v>
                  </c:pt>
                  <c:pt idx="24">
                    <c:v>Baja</c:v>
                  </c:pt>
                  <c:pt idx="25">
                    <c:v>Muy Baja</c:v>
                  </c:pt>
                  <c:pt idx="26">
                    <c:v>Baja</c:v>
                  </c:pt>
                  <c:pt idx="27">
                    <c:v>Muy Baja</c:v>
                  </c:pt>
                  <c:pt idx="28">
                    <c:v>Alta</c:v>
                  </c:pt>
                  <c:pt idx="29">
                    <c:v>Baja</c:v>
                  </c:pt>
                  <c:pt idx="30">
                    <c:v>Muy Baja</c:v>
                  </c:pt>
                  <c:pt idx="31">
                    <c:v>Muy Baja</c:v>
                  </c:pt>
                  <c:pt idx="32">
                    <c:v>Alta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8CF-4C9F-875E-D5F8D0ADD09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'Correlacion Año con Pº.Aceituna'!$A$2:$A$34</c:f>
              <c:numCache>
                <c:formatCode>General</c:formatCode>
                <c:ptCount val="3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'Correlacion Año con Pº.Aceituna'!$C$2:$C$34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F-4C9F-875E-D5F8D0ADD0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8854256"/>
        <c:axId val="1918860016"/>
      </c:lineChart>
      <c:catAx>
        <c:axId val="191885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8860016"/>
        <c:crosses val="autoZero"/>
        <c:auto val="1"/>
        <c:lblAlgn val="ctr"/>
        <c:lblOffset val="100"/>
        <c:noMultiLvlLbl val="0"/>
      </c:catAx>
      <c:valAx>
        <c:axId val="19188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885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Tª.Medias</a:t>
            </a:r>
            <a:r>
              <a:rPr lang="en-US" baseline="0"/>
              <a:t> anuales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'T.Distrib. Frec. Tª'!$M$4</c:f>
              <c:strCache>
                <c:ptCount val="1"/>
                <c:pt idx="0">
                  <c:v>FRelativa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696-414D-8B49-56230A67E3CF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96-414D-8B49-56230A67E3C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96-414D-8B49-56230A67E3CF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96-414D-8B49-56230A67E3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'T.Distrib. Frec. Tª'!$I$5:$I$8</c:f>
              <c:strCache>
                <c:ptCount val="4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  <c:pt idx="3">
                  <c:v>MUY ALTA</c:v>
                </c:pt>
              </c:strCache>
            </c:strRef>
          </c:cat>
          <c:val>
            <c:numRef>
              <c:f>'T.Distrib. Frec. Tª'!$M$5:$M$8</c:f>
              <c:numCache>
                <c:formatCode>0.0%</c:formatCode>
                <c:ptCount val="4"/>
                <c:pt idx="0">
                  <c:v>9.0909090909090912E-2</c:v>
                </c:pt>
                <c:pt idx="1">
                  <c:v>0.42424242424242425</c:v>
                </c:pt>
                <c:pt idx="2">
                  <c:v>0.30303030303030304</c:v>
                </c:pt>
                <c:pt idx="3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6-414D-8B49-56230A67E3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'Regresion Tª.media'!$B$1</c:f>
              <c:strCache>
                <c:ptCount val="1"/>
                <c:pt idx="0">
                  <c:v>Tª /media anual (ºC)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C00000"/>
                </a:solidFill>
                <a:prstDash val="solid"/>
                <a:miter lim="800000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356080489938756E-3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cat>
            <c:numRef>
              <c:f>'Regresion Tª.media'!$A$2:$A$34</c:f>
              <c:numCache>
                <c:formatCode>General</c:formatCode>
                <c:ptCount val="3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'Regresion Tª.media'!$B$2:$B$34</c:f>
              <c:numCache>
                <c:formatCode>General</c:formatCode>
                <c:ptCount val="33"/>
                <c:pt idx="0">
                  <c:v>15.5</c:v>
                </c:pt>
                <c:pt idx="1">
                  <c:v>15.7</c:v>
                </c:pt>
                <c:pt idx="2">
                  <c:v>17</c:v>
                </c:pt>
                <c:pt idx="3">
                  <c:v>17.8</c:v>
                </c:pt>
                <c:pt idx="4">
                  <c:v>16.2</c:v>
                </c:pt>
                <c:pt idx="5">
                  <c:v>17.3</c:v>
                </c:pt>
                <c:pt idx="6">
                  <c:v>17</c:v>
                </c:pt>
                <c:pt idx="7">
                  <c:v>16.8</c:v>
                </c:pt>
                <c:pt idx="8">
                  <c:v>17.2</c:v>
                </c:pt>
                <c:pt idx="9">
                  <c:v>17.399999999999999</c:v>
                </c:pt>
                <c:pt idx="10">
                  <c:v>17.100000000000001</c:v>
                </c:pt>
                <c:pt idx="11">
                  <c:v>17.2</c:v>
                </c:pt>
                <c:pt idx="12">
                  <c:v>16.899999999999999</c:v>
                </c:pt>
                <c:pt idx="13">
                  <c:v>17.100000000000001</c:v>
                </c:pt>
                <c:pt idx="14">
                  <c:v>17.600000000000001</c:v>
                </c:pt>
                <c:pt idx="15">
                  <c:v>16.8</c:v>
                </c:pt>
                <c:pt idx="16">
                  <c:v>16.899999999999999</c:v>
                </c:pt>
                <c:pt idx="17">
                  <c:v>17.7</c:v>
                </c:pt>
                <c:pt idx="18">
                  <c:v>17</c:v>
                </c:pt>
                <c:pt idx="19">
                  <c:v>17.8</c:v>
                </c:pt>
                <c:pt idx="20">
                  <c:v>17.2</c:v>
                </c:pt>
                <c:pt idx="21">
                  <c:v>16.5</c:v>
                </c:pt>
                <c:pt idx="22">
                  <c:v>17.5</c:v>
                </c:pt>
                <c:pt idx="23">
                  <c:v>18.2</c:v>
                </c:pt>
                <c:pt idx="24">
                  <c:v>17.8</c:v>
                </c:pt>
                <c:pt idx="25">
                  <c:v>18.7</c:v>
                </c:pt>
                <c:pt idx="26">
                  <c:v>16.8</c:v>
                </c:pt>
                <c:pt idx="27">
                  <c:v>17.899999999999999</c:v>
                </c:pt>
                <c:pt idx="28">
                  <c:v>18.399999999999999</c:v>
                </c:pt>
                <c:pt idx="29">
                  <c:v>17.899999999999999</c:v>
                </c:pt>
                <c:pt idx="30">
                  <c:v>18.899999999999999</c:v>
                </c:pt>
                <c:pt idx="31">
                  <c:v>18.5</c:v>
                </c:pt>
                <c:pt idx="32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D-4D98-A919-33D760D60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407408"/>
        <c:axId val="1571407888"/>
      </c:lineChart>
      <c:catAx>
        <c:axId val="157140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407888"/>
        <c:crosses val="autoZero"/>
        <c:auto val="1"/>
        <c:lblAlgn val="ctr"/>
        <c:lblOffset val="100"/>
        <c:noMultiLvlLbl val="0"/>
      </c:catAx>
      <c:valAx>
        <c:axId val="157140788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40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1594925634295717E-2"/>
          <c:y val="0.19486111111111112"/>
          <c:w val="0.8839606299212597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767060367454067E-2"/>
                  <c:y val="-0.13780074365704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cat>
            <c:numRef>
              <c:f>'Regresion Tª.media'!$L$9:$L$19</c:f>
              <c:numCache>
                <c:formatCode>General</c:formatCode>
                <c:ptCount val="11"/>
                <c:pt idx="0">
                  <c:v>1992</c:v>
                </c:pt>
                <c:pt idx="1">
                  <c:v>1995</c:v>
                </c:pt>
                <c:pt idx="2">
                  <c:v>1998</c:v>
                </c:pt>
                <c:pt idx="3">
                  <c:v>2001</c:v>
                </c:pt>
                <c:pt idx="4">
                  <c:v>2004</c:v>
                </c:pt>
                <c:pt idx="5">
                  <c:v>2007</c:v>
                </c:pt>
                <c:pt idx="6">
                  <c:v>2010</c:v>
                </c:pt>
                <c:pt idx="7">
                  <c:v>2013</c:v>
                </c:pt>
                <c:pt idx="8">
                  <c:v>2016</c:v>
                </c:pt>
                <c:pt idx="9">
                  <c:v>2019</c:v>
                </c:pt>
                <c:pt idx="10">
                  <c:v>2022</c:v>
                </c:pt>
              </c:numCache>
            </c:numRef>
          </c:cat>
          <c:val>
            <c:numRef>
              <c:f>'Regresion Tª.media'!$Q$9:$Q$19</c:f>
              <c:numCache>
                <c:formatCode>0.00</c:formatCode>
                <c:ptCount val="11"/>
                <c:pt idx="0">
                  <c:v>16.066666666666666</c:v>
                </c:pt>
                <c:pt idx="1">
                  <c:v>17.099999999999998</c:v>
                </c:pt>
                <c:pt idx="2">
                  <c:v>17</c:v>
                </c:pt>
                <c:pt idx="3">
                  <c:v>17.233333333333334</c:v>
                </c:pt>
                <c:pt idx="4">
                  <c:v>17.2</c:v>
                </c:pt>
                <c:pt idx="5">
                  <c:v>17.133333333333336</c:v>
                </c:pt>
                <c:pt idx="6">
                  <c:v>17.333333333333332</c:v>
                </c:pt>
                <c:pt idx="7">
                  <c:v>17.400000000000002</c:v>
                </c:pt>
                <c:pt idx="8">
                  <c:v>17.766666666666666</c:v>
                </c:pt>
                <c:pt idx="9">
                  <c:v>18.066666666666666</c:v>
                </c:pt>
                <c:pt idx="10">
                  <c:v>18.733333333333334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9F-4F57-A8A0-98CF76920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061120"/>
        <c:axId val="1639059200"/>
      </c:lineChart>
      <c:catAx>
        <c:axId val="16390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9059200"/>
        <c:crosses val="autoZero"/>
        <c:auto val="1"/>
        <c:lblAlgn val="ctr"/>
        <c:lblOffset val="100"/>
        <c:noMultiLvlLbl val="0"/>
      </c:catAx>
      <c:valAx>
        <c:axId val="163905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906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PRECIPITACIONES</a:t>
            </a:r>
            <a:r>
              <a:rPr lang="es-ES" baseline="0"/>
              <a:t> ANUALES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DC-4B4D-B5D9-38CECE8C61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DC-4B4D-B5D9-38CECE8C61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DC-4B4D-B5D9-38CECE8C61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DC-4B4D-B5D9-38CECE8C61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DC-4B4D-B5D9-38CECE8C61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'Emj.Tabla distribuc.Frecuc-Lluv'!$F$2:$F$6</c:f>
              <c:strCache>
                <c:ptCount val="5"/>
                <c:pt idx="0">
                  <c:v>Muy Baja</c:v>
                </c:pt>
                <c:pt idx="1">
                  <c:v>Baja</c:v>
                </c:pt>
                <c:pt idx="2">
                  <c:v>Media</c:v>
                </c:pt>
                <c:pt idx="3">
                  <c:v>Alta</c:v>
                </c:pt>
                <c:pt idx="4">
                  <c:v>Muy Alta</c:v>
                </c:pt>
              </c:strCache>
            </c:strRef>
          </c:cat>
          <c:val>
            <c:numRef>
              <c:f>'Emj.Tabla distribuc.Frecuc-Lluv'!$J$2:$J$6</c:f>
              <c:numCache>
                <c:formatCode>0%</c:formatCode>
                <c:ptCount val="5"/>
                <c:pt idx="0">
                  <c:v>0.18181818181818182</c:v>
                </c:pt>
                <c:pt idx="1">
                  <c:v>0.36363636363636365</c:v>
                </c:pt>
                <c:pt idx="2">
                  <c:v>0.27272727272727271</c:v>
                </c:pt>
                <c:pt idx="3">
                  <c:v>0.12121212121212122</c:v>
                </c:pt>
                <c:pt idx="4">
                  <c:v>6.0606060606060608E-2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A-4BFB-974B-3F9CA2D264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571500</xdr:colOff>
      <xdr:row>2</xdr:row>
      <xdr:rowOff>95250</xdr:rowOff>
    </xdr:from>
    <xdr:to>
      <xdr:col>23</xdr:col>
      <xdr:colOff>485775</xdr:colOff>
      <xdr:row>16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FD2CAA-9D36-41ED-BFBC-5B36DD5F6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581025</xdr:colOff>
      <xdr:row>23</xdr:row>
      <xdr:rowOff>4762</xdr:rowOff>
    </xdr:from>
    <xdr:to>
      <xdr:col>23</xdr:col>
      <xdr:colOff>495300</xdr:colOff>
      <xdr:row>37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4E18FD-EB84-2003-AA6D-511F368FD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3</xdr:row>
      <xdr:rowOff>61912</xdr:rowOff>
    </xdr:from>
    <xdr:to>
      <xdr:col>15</xdr:col>
      <xdr:colOff>238125</xdr:colOff>
      <xdr:row>22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34CC34-5F18-46B6-3D79-EE0FEDE8F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347662</xdr:colOff>
      <xdr:row>13</xdr:row>
      <xdr:rowOff>90487</xdr:rowOff>
    </xdr:from>
    <xdr:to>
      <xdr:col>15</xdr:col>
      <xdr:colOff>623887</xdr:colOff>
      <xdr:row>27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16E6BA-E24C-D1C8-4257-441C4D3BA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39</xdr:row>
      <xdr:rowOff>95250</xdr:rowOff>
    </xdr:from>
    <xdr:to>
      <xdr:col>16</xdr:col>
      <xdr:colOff>476250</xdr:colOff>
      <xdr:row>61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F1CD74-FC79-87E8-9427-499F3C77E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11</xdr:row>
      <xdr:rowOff>147636</xdr:rowOff>
    </xdr:from>
    <xdr:to>
      <xdr:col>15</xdr:col>
      <xdr:colOff>57149</xdr:colOff>
      <xdr:row>34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553EF0-C6C8-6F83-46F5-79F3FF137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357187</xdr:colOff>
      <xdr:row>21</xdr:row>
      <xdr:rowOff>42862</xdr:rowOff>
    </xdr:from>
    <xdr:to>
      <xdr:col>13</xdr:col>
      <xdr:colOff>109537</xdr:colOff>
      <xdr:row>35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4B5DED-363B-4A7D-7659-B62D8C9DA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16</xdr:row>
      <xdr:rowOff>42862</xdr:rowOff>
    </xdr:from>
    <xdr:to>
      <xdr:col>10</xdr:col>
      <xdr:colOff>457200</xdr:colOff>
      <xdr:row>29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2B19D7-276C-0251-2E60-A35828FBB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261937</xdr:colOff>
      <xdr:row>21</xdr:row>
      <xdr:rowOff>42862</xdr:rowOff>
    </xdr:from>
    <xdr:to>
      <xdr:col>16</xdr:col>
      <xdr:colOff>209550</xdr:colOff>
      <xdr:row>35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1ED463-EEE7-B9C9-91DA-1F9661C74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28013</xdr:colOff>
      <xdr:row>20</xdr:row>
      <xdr:rowOff>146797</xdr:rowOff>
    </xdr:from>
    <xdr:to>
      <xdr:col>9</xdr:col>
      <xdr:colOff>476248</xdr:colOff>
      <xdr:row>35</xdr:row>
      <xdr:rowOff>32497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BCB4ED-C3DE-8B7B-6066-FF1A533DF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orkbookViewId="0">
      <selection activeCell="E26" sqref="E26"/>
    </sheetView>
  </sheetViews>
  <sheetFormatPr baseColWidth="10" defaultColWidth="9.140625" defaultRowHeight="15" x14ac:dyDescent="0.25"/>
  <cols>
    <col min="1" max="1" width="13.5703125" bestFit="1" customWidth="1"/>
    <col min="2" max="2" width="20.7109375" bestFit="1" customWidth="1"/>
    <col min="3" max="3" width="19.140625" bestFit="1" customWidth="1"/>
    <col min="4" max="4" width="23.140625" bestFit="1" customWidth="1"/>
    <col min="5" max="5" width="13.42578125" bestFit="1" customWidth="1"/>
    <col min="6" max="6" width="14.7109375" bestFit="1" customWidth="1"/>
    <col min="7" max="7" width="19" bestFit="1" customWidth="1"/>
    <col min="8" max="8" width="9.85546875" bestFit="1" customWidth="1"/>
    <col min="9" max="9" width="18" bestFit="1" customWidth="1"/>
    <col min="10" max="10" width="12.7109375" bestFit="1" customWidth="1"/>
    <col min="11" max="11" width="17.5703125" bestFit="1" customWidth="1"/>
    <col min="12" max="12" width="22.5703125" bestFit="1" customWidth="1"/>
    <col min="13" max="13" width="18.140625" bestFit="1" customWidth="1"/>
    <col min="14" max="14" width="13.42578125" bestFit="1" customWidth="1"/>
  </cols>
  <sheetData>
    <row r="1" spans="1:16" s="1" customFormat="1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 t="s">
        <v>10</v>
      </c>
      <c r="N1" s="1" t="s">
        <v>11</v>
      </c>
    </row>
    <row r="2" spans="1:16" x14ac:dyDescent="0.25">
      <c r="A2" s="2">
        <v>2024</v>
      </c>
      <c r="B2" s="3">
        <v>643</v>
      </c>
      <c r="C2" s="3">
        <v>18.8</v>
      </c>
      <c r="D2">
        <v>55</v>
      </c>
      <c r="E2" s="4">
        <f>L2/0.2</f>
        <v>7125000</v>
      </c>
      <c r="F2">
        <f>L2*0.43</f>
        <v>612750</v>
      </c>
      <c r="G2">
        <v>4.2</v>
      </c>
      <c r="H2">
        <f>L2*0.34</f>
        <v>484500.00000000006</v>
      </c>
      <c r="I2">
        <v>3.6</v>
      </c>
      <c r="J2">
        <f>L2*0.23</f>
        <v>327750</v>
      </c>
      <c r="K2">
        <v>3.45</v>
      </c>
      <c r="L2">
        <v>1425000</v>
      </c>
      <c r="M2">
        <f>L2-(L2*2.1/100)</f>
        <v>1395075</v>
      </c>
      <c r="N2" s="4">
        <f>((M2*F2/L2)*G2)+(M2*H2/L2*I2)+(M2*J2/L2*K2)</f>
        <v>5334069.2625000002</v>
      </c>
      <c r="P2" s="2"/>
    </row>
    <row r="3" spans="1:16" x14ac:dyDescent="0.25">
      <c r="A3" s="2">
        <v>2023</v>
      </c>
      <c r="B3" s="3">
        <v>413</v>
      </c>
      <c r="C3" s="3">
        <v>18.5</v>
      </c>
      <c r="D3">
        <v>33</v>
      </c>
      <c r="E3" s="4">
        <f>L3/0.18</f>
        <v>1194444.4444444445</v>
      </c>
      <c r="F3">
        <f>L3*0.22</f>
        <v>47300</v>
      </c>
      <c r="G3">
        <v>5.2</v>
      </c>
      <c r="H3">
        <f>L3*0.55</f>
        <v>118250.00000000001</v>
      </c>
      <c r="I3">
        <v>4.9000000000000004</v>
      </c>
      <c r="J3">
        <f>L3*0.23</f>
        <v>49450</v>
      </c>
      <c r="K3">
        <v>4.7</v>
      </c>
      <c r="L3">
        <v>215000</v>
      </c>
      <c r="M3">
        <f>L3-(L3*2/100)</f>
        <v>210700</v>
      </c>
      <c r="N3" s="4">
        <f t="shared" ref="N3:N34" si="0">((M3*F3/L3)*G3)+(M3*H3/L3*I3)+(M3*J3/L3*K3)</f>
        <v>1036644.0000000002</v>
      </c>
      <c r="O3" s="2"/>
      <c r="P3" s="2"/>
    </row>
    <row r="4" spans="1:16" x14ac:dyDescent="0.25">
      <c r="A4" s="2">
        <v>2022</v>
      </c>
      <c r="B4" s="3">
        <v>476</v>
      </c>
      <c r="C4" s="3">
        <v>18.899999999999999</v>
      </c>
      <c r="D4">
        <v>30</v>
      </c>
      <c r="E4" s="4">
        <f>L4/0.19</f>
        <v>1052631.5789473683</v>
      </c>
      <c r="F4">
        <f>L4*0.25</f>
        <v>50000</v>
      </c>
      <c r="G4">
        <v>8.4</v>
      </c>
      <c r="H4">
        <f>L4*0.6</f>
        <v>120000</v>
      </c>
      <c r="I4">
        <v>7.58</v>
      </c>
      <c r="J4">
        <f>L4*0.15</f>
        <v>30000</v>
      </c>
      <c r="K4">
        <v>6.99</v>
      </c>
      <c r="L4">
        <v>200000</v>
      </c>
      <c r="M4">
        <f>L4-(L4*2.3/100)</f>
        <v>195400</v>
      </c>
      <c r="N4" s="4">
        <f t="shared" si="0"/>
        <v>1503896.0999999999</v>
      </c>
      <c r="O4" s="2"/>
      <c r="P4" s="2"/>
    </row>
    <row r="5" spans="1:16" x14ac:dyDescent="0.25">
      <c r="A5" s="2">
        <v>2021</v>
      </c>
      <c r="B5" s="3">
        <v>524</v>
      </c>
      <c r="C5" s="3">
        <v>17.899999999999999</v>
      </c>
      <c r="D5">
        <v>56</v>
      </c>
      <c r="E5" s="4">
        <f>L5/0.18</f>
        <v>2777777.777777778</v>
      </c>
      <c r="F5">
        <f>L5*0.43</f>
        <v>215000</v>
      </c>
      <c r="G5">
        <v>3.41</v>
      </c>
      <c r="H5">
        <f>L5*0.29</f>
        <v>145000</v>
      </c>
      <c r="I5">
        <v>3.05</v>
      </c>
      <c r="J5">
        <f>L5*0.28</f>
        <v>140000</v>
      </c>
      <c r="K5">
        <v>2.88</v>
      </c>
      <c r="L5">
        <v>500000</v>
      </c>
      <c r="M5">
        <f>L5-(L5*2.2/100)</f>
        <v>489000</v>
      </c>
      <c r="N5" s="4">
        <f t="shared" si="0"/>
        <v>1543870.8000000003</v>
      </c>
      <c r="O5" s="2"/>
      <c r="P5" s="2"/>
    </row>
    <row r="6" spans="1:16" x14ac:dyDescent="0.25">
      <c r="A6" s="2">
        <v>2020</v>
      </c>
      <c r="B6" s="3">
        <v>700</v>
      </c>
      <c r="C6" s="3">
        <v>18.399999999999999</v>
      </c>
      <c r="D6">
        <v>86</v>
      </c>
      <c r="E6" s="4">
        <f>L6/0.19</f>
        <v>6842105.2631578948</v>
      </c>
      <c r="F6">
        <f>L6*0.1</f>
        <v>130000</v>
      </c>
      <c r="G6">
        <v>2.15</v>
      </c>
      <c r="H6">
        <f>L6*0.44</f>
        <v>572000</v>
      </c>
      <c r="I6">
        <v>1.86</v>
      </c>
      <c r="J6">
        <f>L6*0.46</f>
        <v>598000</v>
      </c>
      <c r="K6">
        <v>1.76</v>
      </c>
      <c r="L6">
        <v>1300000</v>
      </c>
      <c r="M6">
        <f>L6-(L6*1.9/100)</f>
        <v>1275300</v>
      </c>
      <c r="N6" s="4">
        <f t="shared" si="0"/>
        <v>2350377.9</v>
      </c>
      <c r="O6" s="2"/>
      <c r="P6" s="2"/>
    </row>
    <row r="7" spans="1:16" x14ac:dyDescent="0.25">
      <c r="A7" s="2">
        <v>2019</v>
      </c>
      <c r="B7" s="3">
        <v>392</v>
      </c>
      <c r="C7" s="3">
        <v>17.899999999999999</v>
      </c>
      <c r="D7">
        <v>38</v>
      </c>
      <c r="E7" s="4">
        <f>L7/0.22</f>
        <v>1795454.5454545454</v>
      </c>
      <c r="F7">
        <f>L7*0.23</f>
        <v>90850</v>
      </c>
      <c r="G7">
        <v>2.4</v>
      </c>
      <c r="H7">
        <f>L7*0.57</f>
        <v>225149.99999999997</v>
      </c>
      <c r="I7">
        <v>2.11</v>
      </c>
      <c r="J7">
        <f>L7*0.2</f>
        <v>79000</v>
      </c>
      <c r="K7">
        <v>1.72</v>
      </c>
      <c r="L7">
        <v>395000</v>
      </c>
      <c r="M7">
        <f>L7-(L7*2.1/100)</f>
        <v>386705</v>
      </c>
      <c r="N7" s="4">
        <f t="shared" si="0"/>
        <v>811577.7834999999</v>
      </c>
      <c r="O7" s="2"/>
      <c r="P7" s="2"/>
    </row>
    <row r="8" spans="1:16" x14ac:dyDescent="0.25">
      <c r="A8" s="2">
        <v>2018</v>
      </c>
      <c r="B8" s="3">
        <v>787</v>
      </c>
      <c r="C8" s="3">
        <v>16.8</v>
      </c>
      <c r="D8">
        <v>47</v>
      </c>
      <c r="E8" s="4">
        <f>L8/0.19</f>
        <v>2395105.2631578948</v>
      </c>
      <c r="F8">
        <f>L8*0.4</f>
        <v>182028</v>
      </c>
      <c r="G8">
        <v>3.05</v>
      </c>
      <c r="H8" s="4">
        <f>L8*0.55</f>
        <v>250288.50000000003</v>
      </c>
      <c r="I8">
        <v>2.8</v>
      </c>
      <c r="J8" s="4">
        <f>L8*0.05</f>
        <v>22753.5</v>
      </c>
      <c r="K8">
        <v>2.65</v>
      </c>
      <c r="L8">
        <v>455070</v>
      </c>
      <c r="M8" s="4">
        <f>L8-(L8*1.95/100)</f>
        <v>446196.13500000001</v>
      </c>
      <c r="N8" s="4">
        <f t="shared" si="0"/>
        <v>1290622.3204874999</v>
      </c>
      <c r="O8" s="2"/>
      <c r="P8" s="2"/>
    </row>
    <row r="9" spans="1:16" x14ac:dyDescent="0.25">
      <c r="A9" s="2">
        <v>2017</v>
      </c>
      <c r="B9" s="3">
        <v>461</v>
      </c>
      <c r="C9" s="3">
        <v>18.7</v>
      </c>
      <c r="D9">
        <v>44</v>
      </c>
      <c r="E9" s="4">
        <f>L9/0.195</f>
        <v>2008733.3333333333</v>
      </c>
      <c r="F9" s="4">
        <f>L9*0.71</f>
        <v>278109.13</v>
      </c>
      <c r="G9" s="4">
        <v>3.77</v>
      </c>
      <c r="H9" s="4">
        <f>L9*0.24</f>
        <v>94008.72</v>
      </c>
      <c r="I9">
        <v>3.68</v>
      </c>
      <c r="J9" s="4">
        <f>L9*0.05</f>
        <v>19585.150000000001</v>
      </c>
      <c r="K9">
        <v>3.61</v>
      </c>
      <c r="L9">
        <v>391703</v>
      </c>
      <c r="M9" s="4">
        <f>L9-(L9*2/100)</f>
        <v>383868.94</v>
      </c>
      <c r="N9" s="4">
        <f t="shared" si="0"/>
        <v>1435823.3831760001</v>
      </c>
      <c r="O9" s="2"/>
      <c r="P9" s="2"/>
    </row>
    <row r="10" spans="1:16" x14ac:dyDescent="0.25">
      <c r="A10" s="2">
        <v>2016</v>
      </c>
      <c r="B10" s="3">
        <v>554</v>
      </c>
      <c r="C10" s="3">
        <v>17.8</v>
      </c>
      <c r="D10">
        <v>51</v>
      </c>
      <c r="E10" s="4">
        <f>L10/0.21</f>
        <v>2409523.8095238097</v>
      </c>
      <c r="F10">
        <f>L10*0.18</f>
        <v>91080</v>
      </c>
      <c r="G10">
        <v>3.2</v>
      </c>
      <c r="H10">
        <f>L10*0.55</f>
        <v>278300</v>
      </c>
      <c r="I10">
        <v>3.07</v>
      </c>
      <c r="J10">
        <f>L10*0.27</f>
        <v>136620</v>
      </c>
      <c r="K10">
        <v>2.94</v>
      </c>
      <c r="L10">
        <v>506000</v>
      </c>
      <c r="M10">
        <f>L10-(L10*2.5/100)</f>
        <v>493350</v>
      </c>
      <c r="N10" s="4">
        <f t="shared" si="0"/>
        <v>1508812.3049999999</v>
      </c>
      <c r="O10" s="2"/>
      <c r="P10" s="2"/>
    </row>
    <row r="11" spans="1:16" x14ac:dyDescent="0.25">
      <c r="A11" s="2">
        <v>2015</v>
      </c>
      <c r="B11" s="3">
        <v>434</v>
      </c>
      <c r="C11" s="3">
        <v>18.2</v>
      </c>
      <c r="D11">
        <v>53</v>
      </c>
      <c r="E11" s="4">
        <f>L11/0.18</f>
        <v>2694444.4444444445</v>
      </c>
      <c r="F11">
        <f>L11*0.2</f>
        <v>97000</v>
      </c>
      <c r="G11">
        <v>3.44</v>
      </c>
      <c r="H11">
        <f>L11*0.5</f>
        <v>242500</v>
      </c>
      <c r="I11">
        <v>3.18</v>
      </c>
      <c r="J11">
        <f>L11*0.3</f>
        <v>145500</v>
      </c>
      <c r="K11">
        <v>2.97</v>
      </c>
      <c r="L11">
        <v>485000</v>
      </c>
      <c r="M11">
        <f>L11-(L11*2.2/100)</f>
        <v>474330</v>
      </c>
      <c r="N11" s="4">
        <f t="shared" si="0"/>
        <v>1503151.77</v>
      </c>
      <c r="O11" s="2"/>
      <c r="P11" s="2"/>
    </row>
    <row r="12" spans="1:16" x14ac:dyDescent="0.25">
      <c r="A12" s="2">
        <v>2014</v>
      </c>
      <c r="B12" s="3">
        <v>525</v>
      </c>
      <c r="C12" s="3">
        <v>17.5</v>
      </c>
      <c r="D12">
        <v>34</v>
      </c>
      <c r="E12" s="4">
        <f>L12/0.19</f>
        <v>1218947.3684210526</v>
      </c>
      <c r="F12">
        <f>L12*0.17</f>
        <v>39372</v>
      </c>
      <c r="G12">
        <v>2.31</v>
      </c>
      <c r="H12">
        <f>L12*0.5</f>
        <v>115800</v>
      </c>
      <c r="I12">
        <v>2.13</v>
      </c>
      <c r="J12">
        <f>L12*0.33</f>
        <v>76428</v>
      </c>
      <c r="K12">
        <v>2</v>
      </c>
      <c r="L12">
        <v>231600</v>
      </c>
      <c r="M12" s="4">
        <f>L12-(L12*2.1/100)</f>
        <v>226736.4</v>
      </c>
      <c r="N12" s="4">
        <f t="shared" si="0"/>
        <v>480159.67427999992</v>
      </c>
      <c r="O12" s="2"/>
      <c r="P12" s="2"/>
    </row>
    <row r="13" spans="1:16" x14ac:dyDescent="0.25">
      <c r="A13" s="2">
        <v>2013</v>
      </c>
      <c r="B13" s="3">
        <v>1073</v>
      </c>
      <c r="C13" s="3">
        <v>16.5</v>
      </c>
      <c r="D13">
        <v>69</v>
      </c>
      <c r="E13" s="4">
        <f>L13/0.15</f>
        <v>5013333.333333334</v>
      </c>
      <c r="F13">
        <f>L13*0.18</f>
        <v>135360</v>
      </c>
      <c r="G13">
        <v>2.69</v>
      </c>
      <c r="H13">
        <f>L13*0.57</f>
        <v>428639.99999999994</v>
      </c>
      <c r="I13">
        <v>2.5</v>
      </c>
      <c r="J13">
        <f t="shared" ref="J13:J30" si="1">L13*0.25</f>
        <v>188000</v>
      </c>
      <c r="K13">
        <v>2.37</v>
      </c>
      <c r="L13">
        <v>752000</v>
      </c>
      <c r="M13">
        <f>L13-(L13*2.3/100)</f>
        <v>734704</v>
      </c>
      <c r="N13" s="4">
        <f t="shared" si="0"/>
        <v>1838008.9967999998</v>
      </c>
      <c r="O13" s="2"/>
      <c r="P13" s="2"/>
    </row>
    <row r="14" spans="1:16" x14ac:dyDescent="0.25">
      <c r="A14" s="2">
        <v>2012</v>
      </c>
      <c r="B14" s="3">
        <v>266</v>
      </c>
      <c r="C14" s="3">
        <v>17.2</v>
      </c>
      <c r="D14">
        <v>26</v>
      </c>
      <c r="E14" s="4">
        <f>L14/0.18</f>
        <v>777777.77777777775</v>
      </c>
      <c r="F14">
        <f>L14*0.19</f>
        <v>26600</v>
      </c>
      <c r="G14">
        <v>2.0099999999999998</v>
      </c>
      <c r="H14">
        <f>L14*0.55</f>
        <v>77000</v>
      </c>
      <c r="I14">
        <v>1.89</v>
      </c>
      <c r="J14">
        <f>L14*0.26</f>
        <v>36400</v>
      </c>
      <c r="K14">
        <v>1.79</v>
      </c>
      <c r="L14">
        <v>140000</v>
      </c>
      <c r="M14">
        <f>L14-(L14*2.15/100)</f>
        <v>136990</v>
      </c>
      <c r="N14" s="4">
        <f t="shared" si="0"/>
        <v>258472.73199999999</v>
      </c>
      <c r="O14" s="2"/>
      <c r="P14" s="2"/>
    </row>
    <row r="15" spans="1:16" x14ac:dyDescent="0.25">
      <c r="A15" s="2">
        <v>2011</v>
      </c>
      <c r="B15" s="3">
        <v>747</v>
      </c>
      <c r="C15" s="3">
        <v>17.8</v>
      </c>
      <c r="D15">
        <v>60</v>
      </c>
      <c r="E15" s="4">
        <f>L15/0.19</f>
        <v>3563157.8947368423</v>
      </c>
      <c r="F15">
        <f>L15*0.2</f>
        <v>135400</v>
      </c>
      <c r="G15">
        <v>1.96</v>
      </c>
      <c r="H15">
        <f>L15*0.55</f>
        <v>372350.00000000006</v>
      </c>
      <c r="I15">
        <v>1.75</v>
      </c>
      <c r="J15">
        <f t="shared" si="1"/>
        <v>169250</v>
      </c>
      <c r="K15">
        <v>1.65</v>
      </c>
      <c r="L15">
        <v>677000</v>
      </c>
      <c r="M15">
        <f>L15-(L15*2.2/100)</f>
        <v>662106</v>
      </c>
      <c r="N15" s="4">
        <f t="shared" si="0"/>
        <v>1169941.3020000001</v>
      </c>
      <c r="O15" s="2"/>
      <c r="P15" s="2"/>
    </row>
    <row r="16" spans="1:16" x14ac:dyDescent="0.25">
      <c r="A16" s="2">
        <v>2010</v>
      </c>
      <c r="B16" s="3">
        <v>988</v>
      </c>
      <c r="C16" s="3">
        <v>17</v>
      </c>
      <c r="D16">
        <v>81</v>
      </c>
      <c r="E16" s="4">
        <f>L16/0.17</f>
        <v>7588235.2941176463</v>
      </c>
      <c r="F16">
        <f>L16*0.22</f>
        <v>283800</v>
      </c>
      <c r="G16">
        <v>2.0499999999999998</v>
      </c>
      <c r="H16">
        <f>L16*0.53</f>
        <v>683700</v>
      </c>
      <c r="I16">
        <v>1.86</v>
      </c>
      <c r="J16">
        <f>L16*0.25</f>
        <v>322500</v>
      </c>
      <c r="K16">
        <v>1.73</v>
      </c>
      <c r="L16">
        <v>1290000</v>
      </c>
      <c r="M16">
        <f>L16-(L16*2.4/100)</f>
        <v>1259040</v>
      </c>
      <c r="N16" s="4">
        <f t="shared" si="0"/>
        <v>2353523.4720000001</v>
      </c>
      <c r="O16" s="2"/>
      <c r="P16" s="2"/>
    </row>
    <row r="17" spans="1:16" x14ac:dyDescent="0.25">
      <c r="A17" s="2">
        <v>2009</v>
      </c>
      <c r="B17" s="3">
        <v>561</v>
      </c>
      <c r="C17" s="3">
        <v>17.7</v>
      </c>
      <c r="D17">
        <v>42</v>
      </c>
      <c r="E17" s="4">
        <f>L17/0.18</f>
        <v>2155277.777777778</v>
      </c>
      <c r="F17">
        <f>L17*0.2</f>
        <v>77590</v>
      </c>
      <c r="G17">
        <v>2.02</v>
      </c>
      <c r="H17" s="4">
        <f>L17*0.55</f>
        <v>213372.50000000003</v>
      </c>
      <c r="I17" s="5">
        <v>1.95</v>
      </c>
      <c r="J17" s="4">
        <f t="shared" si="1"/>
        <v>96987.5</v>
      </c>
      <c r="K17">
        <v>1.89</v>
      </c>
      <c r="L17">
        <v>387950</v>
      </c>
      <c r="M17" s="4">
        <f>L17-(L17*2.35/100)</f>
        <v>378833.17499999999</v>
      </c>
      <c r="N17" s="4">
        <f t="shared" si="0"/>
        <v>738345.858075</v>
      </c>
      <c r="O17" s="2"/>
      <c r="P17" s="2"/>
    </row>
    <row r="18" spans="1:16" x14ac:dyDescent="0.25">
      <c r="A18" s="2">
        <v>2008</v>
      </c>
      <c r="B18" s="3">
        <v>538</v>
      </c>
      <c r="C18" s="3">
        <v>16.899999999999999</v>
      </c>
      <c r="D18">
        <v>43</v>
      </c>
      <c r="E18" s="4">
        <f>L18/0.2</f>
        <v>2170000</v>
      </c>
      <c r="F18">
        <f>L18*0.19</f>
        <v>82460</v>
      </c>
      <c r="G18">
        <v>2.4300000000000002</v>
      </c>
      <c r="H18">
        <f>L18*0.54</f>
        <v>234360.00000000003</v>
      </c>
      <c r="I18">
        <v>2.36</v>
      </c>
      <c r="J18">
        <f>L18*0.27</f>
        <v>117180.00000000001</v>
      </c>
      <c r="K18">
        <v>2.2999999999999998</v>
      </c>
      <c r="L18">
        <v>434000</v>
      </c>
      <c r="M18">
        <f>L18-(L18*2.15/100)</f>
        <v>424669</v>
      </c>
      <c r="N18" s="4">
        <f t="shared" si="0"/>
        <v>1000987.2999000001</v>
      </c>
      <c r="O18" s="2"/>
      <c r="P18" s="2"/>
    </row>
    <row r="19" spans="1:16" x14ac:dyDescent="0.25">
      <c r="A19" s="2">
        <v>2007</v>
      </c>
      <c r="B19" s="3">
        <v>412</v>
      </c>
      <c r="C19" s="3">
        <v>16.8</v>
      </c>
      <c r="D19">
        <v>58</v>
      </c>
      <c r="E19" s="4">
        <f>L19/0.16</f>
        <v>3075000</v>
      </c>
      <c r="F19">
        <f>L19*0.2</f>
        <v>98400</v>
      </c>
      <c r="G19">
        <v>2.57</v>
      </c>
      <c r="H19">
        <f>L19*0.55</f>
        <v>270600</v>
      </c>
      <c r="I19">
        <v>2.46</v>
      </c>
      <c r="J19">
        <f t="shared" si="1"/>
        <v>123000</v>
      </c>
      <c r="K19">
        <v>2.4</v>
      </c>
      <c r="L19">
        <v>492000</v>
      </c>
      <c r="M19" s="4">
        <f>L19-(L19*2.18/100)</f>
        <v>481274.4</v>
      </c>
      <c r="N19" s="4">
        <f t="shared" si="0"/>
        <v>1187303.9447999999</v>
      </c>
      <c r="O19" s="2"/>
      <c r="P19" s="2"/>
    </row>
    <row r="20" spans="1:16" x14ac:dyDescent="0.25">
      <c r="A20" s="2">
        <v>2006</v>
      </c>
      <c r="B20" s="3">
        <v>525</v>
      </c>
      <c r="C20" s="3">
        <v>17.600000000000001</v>
      </c>
      <c r="D20">
        <v>40</v>
      </c>
      <c r="E20" s="4">
        <f>L20/0.22</f>
        <v>2140909.0909090908</v>
      </c>
      <c r="F20">
        <f>L20*0.22</f>
        <v>103620</v>
      </c>
      <c r="G20">
        <v>3.35</v>
      </c>
      <c r="H20">
        <f>L20*0.52</f>
        <v>244920</v>
      </c>
      <c r="I20">
        <v>3.27</v>
      </c>
      <c r="J20">
        <f>L20*0.26</f>
        <v>122460</v>
      </c>
      <c r="K20">
        <v>3.17</v>
      </c>
      <c r="L20">
        <v>471000</v>
      </c>
      <c r="M20" s="4">
        <f>L20-(L20*2.05/100)</f>
        <v>461344.5</v>
      </c>
      <c r="N20" s="4">
        <f t="shared" si="0"/>
        <v>1504721.2212</v>
      </c>
      <c r="O20" s="2"/>
      <c r="P20" s="2"/>
    </row>
    <row r="21" spans="1:16" x14ac:dyDescent="0.25">
      <c r="A21" s="2">
        <v>2005</v>
      </c>
      <c r="B21" s="3">
        <v>245</v>
      </c>
      <c r="C21" s="3">
        <v>17.100000000000001</v>
      </c>
      <c r="D21">
        <v>37</v>
      </c>
      <c r="E21" s="4">
        <f>L21/0.19</f>
        <v>1400000</v>
      </c>
      <c r="F21">
        <f>L21*0.23</f>
        <v>61180</v>
      </c>
      <c r="G21">
        <v>3.05</v>
      </c>
      <c r="H21">
        <f>L21*0.51</f>
        <v>135660</v>
      </c>
      <c r="I21">
        <v>3</v>
      </c>
      <c r="J21">
        <f>L21*0.26</f>
        <v>69160</v>
      </c>
      <c r="K21">
        <v>2.88</v>
      </c>
      <c r="L21">
        <v>266000</v>
      </c>
      <c r="M21">
        <f>L21-(L21*2.1/100)</f>
        <v>260414</v>
      </c>
      <c r="N21" s="4">
        <f t="shared" si="0"/>
        <v>776111.84419999993</v>
      </c>
      <c r="O21" s="2"/>
      <c r="P21" s="2"/>
    </row>
    <row r="22" spans="1:16" x14ac:dyDescent="0.25">
      <c r="A22" s="2">
        <v>2004</v>
      </c>
      <c r="B22" s="3">
        <v>565</v>
      </c>
      <c r="C22" s="3">
        <v>16.899999999999999</v>
      </c>
      <c r="D22">
        <v>48</v>
      </c>
      <c r="E22" s="4">
        <f>L22/0.17</f>
        <v>2476470.588235294</v>
      </c>
      <c r="F22">
        <f>L22*0.2</f>
        <v>84200</v>
      </c>
      <c r="G22">
        <v>2.44</v>
      </c>
      <c r="H22">
        <f>L22*0.55</f>
        <v>231550.00000000003</v>
      </c>
      <c r="I22">
        <v>2.35</v>
      </c>
      <c r="J22">
        <f t="shared" si="1"/>
        <v>105250</v>
      </c>
      <c r="K22">
        <v>2.27</v>
      </c>
      <c r="L22">
        <v>421000</v>
      </c>
      <c r="M22" s="4">
        <f>L22-(L22*2.18/100)</f>
        <v>411822.2</v>
      </c>
      <c r="N22" s="4">
        <f t="shared" si="0"/>
        <v>966958.52560000028</v>
      </c>
      <c r="O22" s="2"/>
      <c r="P22" s="2"/>
    </row>
    <row r="23" spans="1:16" x14ac:dyDescent="0.25">
      <c r="A23" s="2">
        <v>2003</v>
      </c>
      <c r="B23" s="3">
        <v>537</v>
      </c>
      <c r="C23" s="3">
        <v>17.2</v>
      </c>
      <c r="D23">
        <v>62</v>
      </c>
      <c r="E23" s="4">
        <f>L23/0.18</f>
        <v>3577777.777777778</v>
      </c>
      <c r="F23">
        <f>L23*0.2</f>
        <v>128800</v>
      </c>
      <c r="G23">
        <v>2.25</v>
      </c>
      <c r="H23">
        <f>L23*0.55</f>
        <v>354200</v>
      </c>
      <c r="I23">
        <v>2.16</v>
      </c>
      <c r="J23">
        <f t="shared" si="1"/>
        <v>161000</v>
      </c>
      <c r="K23">
        <v>2.0099999999999998</v>
      </c>
      <c r="L23">
        <v>644000</v>
      </c>
      <c r="M23" s="4">
        <f>L23-(L23*2.26/100)</f>
        <v>629445.6</v>
      </c>
      <c r="N23" s="4">
        <f t="shared" si="0"/>
        <v>1347328.3068000001</v>
      </c>
      <c r="O23" s="2"/>
      <c r="P23" s="2"/>
    </row>
    <row r="24" spans="1:16" x14ac:dyDescent="0.25">
      <c r="A24" s="2">
        <v>2002</v>
      </c>
      <c r="B24" s="3">
        <v>468</v>
      </c>
      <c r="C24" s="3">
        <v>17.100000000000001</v>
      </c>
      <c r="D24">
        <v>39</v>
      </c>
      <c r="E24" s="4">
        <f>L24/0.21</f>
        <v>1780952.3809523811</v>
      </c>
      <c r="F24">
        <f>L24*0.16</f>
        <v>59840</v>
      </c>
      <c r="G24">
        <v>1.97</v>
      </c>
      <c r="H24">
        <f>L24*0.55</f>
        <v>205700.00000000003</v>
      </c>
      <c r="I24">
        <v>1.84</v>
      </c>
      <c r="J24">
        <f>L24*0.29</f>
        <v>108459.99999999999</v>
      </c>
      <c r="K24">
        <v>1.81</v>
      </c>
      <c r="L24">
        <v>374000</v>
      </c>
      <c r="M24" s="4">
        <f>L24-(L24*2.12/100)</f>
        <v>366071.2</v>
      </c>
      <c r="N24" s="4">
        <f t="shared" si="0"/>
        <v>678000.46952000004</v>
      </c>
      <c r="O24" s="2"/>
      <c r="P24" s="2"/>
    </row>
    <row r="25" spans="1:16" x14ac:dyDescent="0.25">
      <c r="A25" s="2">
        <v>2001</v>
      </c>
      <c r="B25" s="3">
        <v>693</v>
      </c>
      <c r="C25" s="3">
        <v>17.399999999999999</v>
      </c>
      <c r="D25">
        <v>63</v>
      </c>
      <c r="E25" s="4">
        <f>L25/0.19</f>
        <v>8789473.6842105258</v>
      </c>
      <c r="F25">
        <f>L25*0.19</f>
        <v>317300</v>
      </c>
      <c r="G25">
        <v>1.79</v>
      </c>
      <c r="H25">
        <f>L25*0.56</f>
        <v>935200.00000000012</v>
      </c>
      <c r="I25">
        <v>1.69</v>
      </c>
      <c r="J25">
        <f t="shared" si="1"/>
        <v>417500</v>
      </c>
      <c r="K25">
        <v>1.65</v>
      </c>
      <c r="L25">
        <v>1670000</v>
      </c>
      <c r="M25" s="4">
        <f>L25-(L25*2.01/100)</f>
        <v>1636433</v>
      </c>
      <c r="N25" s="4">
        <f t="shared" si="0"/>
        <v>2780299.6669999999</v>
      </c>
      <c r="O25" s="2"/>
      <c r="P25" s="2"/>
    </row>
    <row r="26" spans="1:16" x14ac:dyDescent="0.25">
      <c r="A26" s="2">
        <v>2000</v>
      </c>
      <c r="B26" s="3">
        <v>506</v>
      </c>
      <c r="C26" s="3">
        <v>17.2</v>
      </c>
      <c r="D26">
        <v>40</v>
      </c>
      <c r="E26" s="4">
        <f>L26/0.22</f>
        <v>2104545.4545454546</v>
      </c>
      <c r="F26">
        <f>L26*0.2</f>
        <v>92600</v>
      </c>
      <c r="G26">
        <v>1.99</v>
      </c>
      <c r="H26">
        <f>L26*0.57</f>
        <v>263910</v>
      </c>
      <c r="I26">
        <v>1.89</v>
      </c>
      <c r="J26">
        <f>L26*0.23</f>
        <v>106490</v>
      </c>
      <c r="K26">
        <v>1.86</v>
      </c>
      <c r="L26">
        <v>463000</v>
      </c>
      <c r="M26" s="4">
        <f>L26-(L26*2.1/100)</f>
        <v>453277</v>
      </c>
      <c r="N26" s="4">
        <f t="shared" si="0"/>
        <v>862631.45870000008</v>
      </c>
      <c r="O26" s="2"/>
      <c r="P26" s="2"/>
    </row>
    <row r="27" spans="1:16" x14ac:dyDescent="0.25">
      <c r="A27" s="2">
        <v>1999</v>
      </c>
      <c r="B27" s="3">
        <v>273</v>
      </c>
      <c r="C27" s="3">
        <v>16.8</v>
      </c>
      <c r="D27">
        <v>35</v>
      </c>
      <c r="E27" s="4">
        <f>L27/0.16</f>
        <v>1375000</v>
      </c>
      <c r="F27">
        <f>L27*0.2</f>
        <v>44000</v>
      </c>
      <c r="G27">
        <v>2.4</v>
      </c>
      <c r="H27">
        <f>L27*0.55</f>
        <v>121000.00000000001</v>
      </c>
      <c r="I27">
        <v>2.29</v>
      </c>
      <c r="J27">
        <f t="shared" si="1"/>
        <v>55000</v>
      </c>
      <c r="K27">
        <v>2.25</v>
      </c>
      <c r="L27">
        <v>220000</v>
      </c>
      <c r="M27" s="4">
        <f>L27-(L27*2.21/100)</f>
        <v>215138</v>
      </c>
      <c r="N27" s="4">
        <f t="shared" si="0"/>
        <v>495247.67600000004</v>
      </c>
      <c r="O27" s="2"/>
      <c r="P27" s="2"/>
    </row>
    <row r="28" spans="1:16" x14ac:dyDescent="0.25">
      <c r="A28" s="2">
        <v>1998</v>
      </c>
      <c r="B28" s="3">
        <v>732</v>
      </c>
      <c r="C28" s="3">
        <v>17</v>
      </c>
      <c r="D28">
        <v>59</v>
      </c>
      <c r="E28" s="4">
        <f>L28/0.19</f>
        <v>2242105.2631578948</v>
      </c>
      <c r="F28">
        <f>L28*0.21</f>
        <v>89460</v>
      </c>
      <c r="G28">
        <v>1.94</v>
      </c>
      <c r="H28">
        <f>L28*0.54</f>
        <v>230040.00000000003</v>
      </c>
      <c r="I28">
        <v>1.79</v>
      </c>
      <c r="J28">
        <f t="shared" si="1"/>
        <v>106500</v>
      </c>
      <c r="K28">
        <v>1.63</v>
      </c>
      <c r="L28">
        <v>426000</v>
      </c>
      <c r="M28" s="4">
        <f>L28-(L28*2.03/100)</f>
        <v>417352.2</v>
      </c>
      <c r="N28" s="4">
        <f t="shared" si="0"/>
        <v>743512.94430000009</v>
      </c>
      <c r="O28" s="2"/>
      <c r="P28" s="2"/>
    </row>
    <row r="29" spans="1:16" x14ac:dyDescent="0.25">
      <c r="A29" s="2">
        <v>1997</v>
      </c>
      <c r="B29" s="3">
        <v>797</v>
      </c>
      <c r="C29" s="3">
        <v>17.3</v>
      </c>
      <c r="D29">
        <v>38</v>
      </c>
      <c r="E29" s="4">
        <f>L29/0.2</f>
        <v>1500000</v>
      </c>
      <c r="F29">
        <f>L29*0.2</f>
        <v>60000</v>
      </c>
      <c r="G29">
        <v>3.76</v>
      </c>
      <c r="H29">
        <f>L29*0.52</f>
        <v>156000</v>
      </c>
      <c r="I29">
        <v>3.6</v>
      </c>
      <c r="J29">
        <f>L29*0.28</f>
        <v>84000.000000000015</v>
      </c>
      <c r="K29">
        <v>3.47</v>
      </c>
      <c r="L29">
        <v>300000</v>
      </c>
      <c r="M29" s="4">
        <f>L29-(L29*2.08/100)</f>
        <v>293760</v>
      </c>
      <c r="N29" s="4">
        <f t="shared" si="0"/>
        <v>1056243.4560000002</v>
      </c>
      <c r="O29" s="2"/>
      <c r="P29" s="2"/>
    </row>
    <row r="30" spans="1:16" x14ac:dyDescent="0.25">
      <c r="A30" s="2">
        <v>1996</v>
      </c>
      <c r="B30" s="3">
        <v>679</v>
      </c>
      <c r="C30" s="3">
        <v>16.2</v>
      </c>
      <c r="D30">
        <v>79</v>
      </c>
      <c r="E30" s="4">
        <f>L30/0.15</f>
        <v>6360000</v>
      </c>
      <c r="F30">
        <f>L30*0.19</f>
        <v>181260</v>
      </c>
      <c r="G30">
        <v>2</v>
      </c>
      <c r="H30">
        <f>L30*0.56</f>
        <v>534240</v>
      </c>
      <c r="I30">
        <v>1.8</v>
      </c>
      <c r="J30">
        <f t="shared" si="1"/>
        <v>238500</v>
      </c>
      <c r="K30">
        <v>1.78</v>
      </c>
      <c r="L30">
        <v>954000</v>
      </c>
      <c r="M30" s="4">
        <f>L30-(L30*2.17/100)</f>
        <v>933298.2</v>
      </c>
      <c r="N30" s="4">
        <f t="shared" si="0"/>
        <v>1710735.6006</v>
      </c>
      <c r="O30" s="2"/>
      <c r="P30" s="2"/>
    </row>
    <row r="31" spans="1:16" x14ac:dyDescent="0.25">
      <c r="A31" s="2">
        <v>1995</v>
      </c>
      <c r="B31" s="3">
        <v>244</v>
      </c>
      <c r="C31" s="3">
        <v>17.8</v>
      </c>
      <c r="D31">
        <v>24</v>
      </c>
      <c r="E31" s="4">
        <f>L31/0.19</f>
        <v>510526.31578947365</v>
      </c>
      <c r="F31">
        <f>L31*0.2</f>
        <v>19400</v>
      </c>
      <c r="G31">
        <v>3.12</v>
      </c>
      <c r="H31">
        <f>L31*0.57</f>
        <v>55289.999999999993</v>
      </c>
      <c r="I31">
        <v>3</v>
      </c>
      <c r="J31">
        <f>L31*0.23</f>
        <v>22310</v>
      </c>
      <c r="K31">
        <v>2.89</v>
      </c>
      <c r="L31">
        <v>97000</v>
      </c>
      <c r="M31" s="4">
        <f>L31-(L31*2/100)</f>
        <v>95060</v>
      </c>
      <c r="N31" s="4">
        <f t="shared" si="0"/>
        <v>285056.42199999996</v>
      </c>
      <c r="O31" s="2"/>
      <c r="P31" s="2"/>
    </row>
    <row r="32" spans="1:16" x14ac:dyDescent="0.25">
      <c r="A32" s="2">
        <v>1994</v>
      </c>
      <c r="B32" s="3">
        <v>169</v>
      </c>
      <c r="C32" s="3">
        <v>17</v>
      </c>
      <c r="D32">
        <v>27</v>
      </c>
      <c r="E32" s="4">
        <f>L32/0.21</f>
        <v>776190.47619047621</v>
      </c>
      <c r="F32">
        <f>L32*0.23</f>
        <v>37490</v>
      </c>
      <c r="G32">
        <v>3</v>
      </c>
      <c r="H32">
        <f>L32*0.55</f>
        <v>89650</v>
      </c>
      <c r="I32">
        <v>2.88</v>
      </c>
      <c r="J32">
        <f>L32*0.22</f>
        <v>35860</v>
      </c>
      <c r="K32">
        <v>2.76</v>
      </c>
      <c r="L32">
        <v>163000</v>
      </c>
      <c r="M32" s="4">
        <f>L32-(L32*1.95/100)</f>
        <v>159821.5</v>
      </c>
      <c r="N32" s="4">
        <f t="shared" si="0"/>
        <v>460477.7058</v>
      </c>
      <c r="O32" s="2"/>
      <c r="P32" s="2"/>
    </row>
    <row r="33" spans="1:16" x14ac:dyDescent="0.25">
      <c r="A33" s="2">
        <v>1993</v>
      </c>
      <c r="B33" s="3">
        <v>306</v>
      </c>
      <c r="C33" s="3">
        <v>15.7</v>
      </c>
      <c r="D33">
        <v>57</v>
      </c>
      <c r="E33" s="4">
        <f>L33/0.18</f>
        <v>2811111.111111111</v>
      </c>
      <c r="F33">
        <f>L33*0.2</f>
        <v>101200</v>
      </c>
      <c r="G33">
        <v>2.92</v>
      </c>
      <c r="H33">
        <f>L33*0.58</f>
        <v>293480</v>
      </c>
      <c r="I33">
        <v>2.7</v>
      </c>
      <c r="J33">
        <f>L33*0.22</f>
        <v>111320</v>
      </c>
      <c r="K33">
        <v>2.59</v>
      </c>
      <c r="L33">
        <v>506000</v>
      </c>
      <c r="M33" s="4">
        <f>L33-(L33*1.99/100)</f>
        <v>495930.6</v>
      </c>
      <c r="N33" s="4">
        <f t="shared" si="0"/>
        <v>1348832.0458800001</v>
      </c>
      <c r="O33" s="2"/>
      <c r="P33" s="2"/>
    </row>
    <row r="34" spans="1:16" x14ac:dyDescent="0.25">
      <c r="A34" s="2">
        <v>1992</v>
      </c>
      <c r="B34" s="3">
        <v>488</v>
      </c>
      <c r="C34" s="3">
        <v>15.5</v>
      </c>
      <c r="D34">
        <v>35</v>
      </c>
      <c r="E34" s="4">
        <f>L34/0.19</f>
        <v>1226315.7894736843</v>
      </c>
      <c r="F34">
        <f>L34*0.18</f>
        <v>41940</v>
      </c>
      <c r="G34">
        <v>3.1</v>
      </c>
      <c r="H34">
        <f>L34*0.53</f>
        <v>123490</v>
      </c>
      <c r="I34">
        <v>2.98</v>
      </c>
      <c r="J34">
        <f>L34*0.29</f>
        <v>67570</v>
      </c>
      <c r="K34">
        <v>2.88</v>
      </c>
      <c r="L34">
        <v>233000</v>
      </c>
      <c r="M34" s="4">
        <f>L34-(L34*2.11/100)</f>
        <v>228083.7</v>
      </c>
      <c r="N34" s="4">
        <f t="shared" si="0"/>
        <v>678001.60661999998</v>
      </c>
      <c r="O34" s="2"/>
      <c r="P34" s="2"/>
    </row>
    <row r="35" spans="1:16" x14ac:dyDescent="0.25">
      <c r="A35" s="2"/>
      <c r="B35" s="3"/>
      <c r="C35" s="3"/>
      <c r="O35" s="2"/>
    </row>
    <row r="36" spans="1:16" x14ac:dyDescent="0.25">
      <c r="A36" s="2"/>
      <c r="B36" s="3"/>
      <c r="C36" s="3"/>
      <c r="O36" s="2"/>
    </row>
    <row r="37" spans="1:16" x14ac:dyDescent="0.25">
      <c r="A37" s="2"/>
      <c r="B37" s="3"/>
      <c r="C37" s="3"/>
      <c r="O37" s="2"/>
    </row>
    <row r="38" spans="1:16" x14ac:dyDescent="0.25">
      <c r="A38" s="2"/>
      <c r="B38" s="3"/>
      <c r="C38" s="3"/>
      <c r="O38" s="2"/>
    </row>
    <row r="39" spans="1:16" x14ac:dyDescent="0.25">
      <c r="A39" s="2"/>
      <c r="B39" s="3"/>
      <c r="C39" s="3"/>
      <c r="O39" s="2"/>
    </row>
    <row r="40" spans="1:16" x14ac:dyDescent="0.25">
      <c r="A40" s="2"/>
      <c r="B40" s="3"/>
      <c r="C40" s="3"/>
      <c r="O40" s="2"/>
    </row>
    <row r="41" spans="1:16" x14ac:dyDescent="0.25">
      <c r="A41" s="2"/>
      <c r="B41" s="3"/>
      <c r="C41" s="3"/>
      <c r="O41" s="2"/>
    </row>
    <row r="42" spans="1:16" x14ac:dyDescent="0.25">
      <c r="A42" s="2"/>
      <c r="B42" s="3"/>
      <c r="C42" s="3"/>
      <c r="O42" s="2"/>
    </row>
    <row r="43" spans="1:16" x14ac:dyDescent="0.25">
      <c r="A43" s="2"/>
      <c r="B43" s="3"/>
      <c r="C43" s="3"/>
      <c r="O43" s="2"/>
    </row>
    <row r="44" spans="1:16" x14ac:dyDescent="0.25">
      <c r="A44" s="2"/>
      <c r="B44" s="3"/>
      <c r="C44" s="3"/>
      <c r="O44" s="2"/>
    </row>
    <row r="45" spans="1:16" x14ac:dyDescent="0.25">
      <c r="A45" s="2"/>
      <c r="B45" s="3"/>
      <c r="C45" s="3"/>
      <c r="O45" s="2"/>
    </row>
    <row r="46" spans="1:16" x14ac:dyDescent="0.25">
      <c r="A46" s="2"/>
      <c r="B46" s="3"/>
      <c r="C46" s="3"/>
      <c r="O46" s="2"/>
    </row>
    <row r="47" spans="1:16" x14ac:dyDescent="0.25">
      <c r="A47" s="2"/>
      <c r="B47" s="3"/>
      <c r="C47" s="3"/>
      <c r="O47" s="2"/>
    </row>
    <row r="48" spans="1:16" x14ac:dyDescent="0.25">
      <c r="A48" s="2"/>
      <c r="B48" s="3"/>
      <c r="C48" s="3"/>
      <c r="O48" s="2"/>
    </row>
    <row r="49" spans="1:15" x14ac:dyDescent="0.25">
      <c r="A49" s="2"/>
      <c r="B49" s="3"/>
      <c r="C49" s="3"/>
      <c r="O49" s="2"/>
    </row>
    <row r="50" spans="1:15" x14ac:dyDescent="0.25">
      <c r="A50" s="2"/>
      <c r="B50" s="3"/>
      <c r="C50" s="3"/>
      <c r="O50" s="2"/>
    </row>
    <row r="51" spans="1:15" x14ac:dyDescent="0.25">
      <c r="A51" s="2"/>
      <c r="B51" s="3"/>
      <c r="C51" s="3"/>
      <c r="O51" s="2"/>
    </row>
    <row r="52" spans="1:15" x14ac:dyDescent="0.25">
      <c r="A52" s="2"/>
      <c r="B52" s="3"/>
      <c r="C52" s="3"/>
      <c r="O52" s="2"/>
    </row>
    <row r="53" spans="1:15" x14ac:dyDescent="0.25">
      <c r="A53" s="2"/>
      <c r="B53" s="3"/>
      <c r="C53" s="3"/>
      <c r="O5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88C9-BEEA-4A78-84AC-8544E9F89534}">
  <dimension ref="A1:P53"/>
  <sheetViews>
    <sheetView workbookViewId="0">
      <selection sqref="A1:B34"/>
    </sheetView>
  </sheetViews>
  <sheetFormatPr baseColWidth="10" defaultColWidth="9.140625" defaultRowHeight="15" x14ac:dyDescent="0.25"/>
  <cols>
    <col min="1" max="1" width="13.5703125" bestFit="1" customWidth="1"/>
    <col min="2" max="2" width="20.7109375" bestFit="1" customWidth="1"/>
    <col min="3" max="3" width="19.140625" bestFit="1" customWidth="1"/>
    <col min="4" max="4" width="23.140625" bestFit="1" customWidth="1"/>
    <col min="5" max="5" width="13.42578125" bestFit="1" customWidth="1"/>
    <col min="6" max="6" width="14.7109375" bestFit="1" customWidth="1"/>
    <col min="7" max="7" width="19" bestFit="1" customWidth="1"/>
    <col min="8" max="8" width="9.85546875" bestFit="1" customWidth="1"/>
    <col min="9" max="9" width="18" bestFit="1" customWidth="1"/>
    <col min="10" max="10" width="12.7109375" bestFit="1" customWidth="1"/>
    <col min="11" max="11" width="17.5703125" bestFit="1" customWidth="1"/>
    <col min="12" max="12" width="22.5703125" bestFit="1" customWidth="1"/>
    <col min="13" max="13" width="18.140625" bestFit="1" customWidth="1"/>
    <col min="14" max="14" width="13.42578125" bestFit="1" customWidth="1"/>
  </cols>
  <sheetData>
    <row r="1" spans="1:16" s="1" customFormat="1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 t="s">
        <v>10</v>
      </c>
      <c r="N1" s="1" t="s">
        <v>11</v>
      </c>
    </row>
    <row r="2" spans="1:16" x14ac:dyDescent="0.25">
      <c r="A2" s="2">
        <v>1992</v>
      </c>
      <c r="B2" s="3">
        <v>488</v>
      </c>
      <c r="C2" s="3">
        <v>15.5</v>
      </c>
      <c r="D2">
        <v>35</v>
      </c>
      <c r="E2" s="4">
        <v>1226315.7894736843</v>
      </c>
      <c r="F2">
        <v>41940</v>
      </c>
      <c r="G2">
        <v>3.1</v>
      </c>
      <c r="H2">
        <v>123490</v>
      </c>
      <c r="I2">
        <v>2.98</v>
      </c>
      <c r="J2">
        <v>67570</v>
      </c>
      <c r="K2">
        <v>2.88</v>
      </c>
      <c r="L2">
        <v>233000</v>
      </c>
      <c r="M2" s="4">
        <v>228083.7</v>
      </c>
      <c r="N2" s="4">
        <v>678001.60661999998</v>
      </c>
      <c r="P2" s="2"/>
    </row>
    <row r="3" spans="1:16" x14ac:dyDescent="0.25">
      <c r="A3" s="2">
        <v>1993</v>
      </c>
      <c r="B3" s="3">
        <v>306</v>
      </c>
      <c r="C3" s="3">
        <v>15.7</v>
      </c>
      <c r="D3">
        <v>57</v>
      </c>
      <c r="E3" s="4">
        <v>2811111.111111111</v>
      </c>
      <c r="F3">
        <v>101200</v>
      </c>
      <c r="G3">
        <v>2.92</v>
      </c>
      <c r="H3">
        <v>293480</v>
      </c>
      <c r="I3">
        <v>2.7</v>
      </c>
      <c r="J3">
        <v>111320</v>
      </c>
      <c r="K3">
        <v>2.59</v>
      </c>
      <c r="L3">
        <v>506000</v>
      </c>
      <c r="M3" s="4">
        <v>495930.6</v>
      </c>
      <c r="N3" s="4">
        <v>1348832.0458800001</v>
      </c>
      <c r="O3" s="2"/>
      <c r="P3" s="2"/>
    </row>
    <row r="4" spans="1:16" x14ac:dyDescent="0.25">
      <c r="A4" s="2">
        <v>1994</v>
      </c>
      <c r="B4" s="3">
        <v>169</v>
      </c>
      <c r="C4" s="3">
        <v>17</v>
      </c>
      <c r="D4">
        <v>27</v>
      </c>
      <c r="E4" s="4">
        <v>776190.47619047621</v>
      </c>
      <c r="F4">
        <v>37490</v>
      </c>
      <c r="G4">
        <v>3</v>
      </c>
      <c r="H4">
        <v>89650</v>
      </c>
      <c r="I4">
        <v>2.88</v>
      </c>
      <c r="J4">
        <v>35860</v>
      </c>
      <c r="K4">
        <v>2.76</v>
      </c>
      <c r="L4">
        <v>163000</v>
      </c>
      <c r="M4" s="4">
        <v>159821.5</v>
      </c>
      <c r="N4" s="4">
        <v>460477.7058</v>
      </c>
      <c r="O4" s="2"/>
      <c r="P4" s="2"/>
    </row>
    <row r="5" spans="1:16" x14ac:dyDescent="0.25">
      <c r="A5" s="2">
        <v>1995</v>
      </c>
      <c r="B5" s="3">
        <v>244</v>
      </c>
      <c r="C5" s="3">
        <v>17.8</v>
      </c>
      <c r="D5">
        <v>24</v>
      </c>
      <c r="E5" s="4">
        <v>510526.31578947365</v>
      </c>
      <c r="F5">
        <v>19400</v>
      </c>
      <c r="G5">
        <v>3.12</v>
      </c>
      <c r="H5">
        <v>55289.999999999993</v>
      </c>
      <c r="I5">
        <v>3</v>
      </c>
      <c r="J5">
        <v>22310</v>
      </c>
      <c r="K5">
        <v>2.89</v>
      </c>
      <c r="L5">
        <v>97000</v>
      </c>
      <c r="M5" s="4">
        <v>95060</v>
      </c>
      <c r="N5" s="4">
        <v>285056.42199999996</v>
      </c>
      <c r="O5" s="2"/>
      <c r="P5" s="2"/>
    </row>
    <row r="6" spans="1:16" x14ac:dyDescent="0.25">
      <c r="A6" s="2">
        <v>1996</v>
      </c>
      <c r="B6" s="3">
        <v>679</v>
      </c>
      <c r="C6" s="3">
        <v>16.2</v>
      </c>
      <c r="D6">
        <v>79</v>
      </c>
      <c r="E6" s="4">
        <v>6360000</v>
      </c>
      <c r="F6">
        <v>181260</v>
      </c>
      <c r="G6">
        <v>2</v>
      </c>
      <c r="H6">
        <v>534240</v>
      </c>
      <c r="I6">
        <v>1.8</v>
      </c>
      <c r="J6">
        <v>238500</v>
      </c>
      <c r="K6">
        <v>1.78</v>
      </c>
      <c r="L6">
        <v>954000</v>
      </c>
      <c r="M6" s="4">
        <v>933298.2</v>
      </c>
      <c r="N6" s="4">
        <v>1710735.6006</v>
      </c>
      <c r="O6" s="2"/>
      <c r="P6" s="2"/>
    </row>
    <row r="7" spans="1:16" x14ac:dyDescent="0.25">
      <c r="A7" s="2">
        <v>1997</v>
      </c>
      <c r="B7" s="3">
        <v>797</v>
      </c>
      <c r="C7" s="3">
        <v>17.3</v>
      </c>
      <c r="D7">
        <v>38</v>
      </c>
      <c r="E7" s="4">
        <v>1500000</v>
      </c>
      <c r="F7">
        <v>60000</v>
      </c>
      <c r="G7">
        <v>3.76</v>
      </c>
      <c r="H7">
        <v>156000</v>
      </c>
      <c r="I7">
        <v>3.6</v>
      </c>
      <c r="J7">
        <v>84000.000000000015</v>
      </c>
      <c r="K7">
        <v>3.47</v>
      </c>
      <c r="L7">
        <v>300000</v>
      </c>
      <c r="M7" s="4">
        <v>293760</v>
      </c>
      <c r="N7" s="4">
        <v>1056243.4560000002</v>
      </c>
      <c r="O7" s="2"/>
      <c r="P7" s="2"/>
    </row>
    <row r="8" spans="1:16" x14ac:dyDescent="0.25">
      <c r="A8" s="2">
        <v>1998</v>
      </c>
      <c r="B8" s="3">
        <v>732</v>
      </c>
      <c r="C8" s="3">
        <v>17</v>
      </c>
      <c r="D8">
        <v>59</v>
      </c>
      <c r="E8" s="4">
        <v>2242105.2631578948</v>
      </c>
      <c r="F8">
        <v>89460</v>
      </c>
      <c r="G8">
        <v>1.94</v>
      </c>
      <c r="H8">
        <v>230040.00000000003</v>
      </c>
      <c r="I8">
        <v>1.79</v>
      </c>
      <c r="J8">
        <v>106500</v>
      </c>
      <c r="K8">
        <v>1.63</v>
      </c>
      <c r="L8">
        <v>426000</v>
      </c>
      <c r="M8" s="4">
        <v>417352.2</v>
      </c>
      <c r="N8" s="4">
        <v>743512.94430000009</v>
      </c>
      <c r="O8" s="2"/>
      <c r="P8" s="2"/>
    </row>
    <row r="9" spans="1:16" x14ac:dyDescent="0.25">
      <c r="A9" s="2">
        <v>1999</v>
      </c>
      <c r="B9" s="3">
        <v>273</v>
      </c>
      <c r="C9" s="3">
        <v>16.8</v>
      </c>
      <c r="D9">
        <v>35</v>
      </c>
      <c r="E9" s="4">
        <v>1375000</v>
      </c>
      <c r="F9">
        <v>44000</v>
      </c>
      <c r="G9">
        <v>2.4</v>
      </c>
      <c r="H9">
        <v>121000.00000000001</v>
      </c>
      <c r="I9">
        <v>2.29</v>
      </c>
      <c r="J9">
        <v>55000</v>
      </c>
      <c r="K9">
        <v>2.25</v>
      </c>
      <c r="L9">
        <v>220000</v>
      </c>
      <c r="M9" s="4">
        <v>215138</v>
      </c>
      <c r="N9" s="4">
        <v>495247.67600000004</v>
      </c>
      <c r="O9" s="2"/>
      <c r="P9" s="2"/>
    </row>
    <row r="10" spans="1:16" x14ac:dyDescent="0.25">
      <c r="A10" s="2">
        <v>2000</v>
      </c>
      <c r="B10" s="3">
        <v>506</v>
      </c>
      <c r="C10" s="3">
        <v>17.2</v>
      </c>
      <c r="D10">
        <v>40</v>
      </c>
      <c r="E10" s="4">
        <v>2104545.4545454546</v>
      </c>
      <c r="F10">
        <v>92600</v>
      </c>
      <c r="G10">
        <v>1.99</v>
      </c>
      <c r="H10">
        <v>263910</v>
      </c>
      <c r="I10">
        <v>1.89</v>
      </c>
      <c r="J10">
        <v>106490</v>
      </c>
      <c r="K10">
        <v>1.86</v>
      </c>
      <c r="L10">
        <v>463000</v>
      </c>
      <c r="M10" s="4">
        <v>453277</v>
      </c>
      <c r="N10" s="4">
        <v>862631.45870000008</v>
      </c>
      <c r="O10" s="2"/>
      <c r="P10" s="2"/>
    </row>
    <row r="11" spans="1:16" x14ac:dyDescent="0.25">
      <c r="A11" s="2">
        <v>2001</v>
      </c>
      <c r="B11" s="3">
        <v>693</v>
      </c>
      <c r="C11" s="3">
        <v>17.399999999999999</v>
      </c>
      <c r="D11">
        <v>63</v>
      </c>
      <c r="E11" s="4">
        <v>8789473.6842105258</v>
      </c>
      <c r="F11">
        <v>317300</v>
      </c>
      <c r="G11">
        <v>1.79</v>
      </c>
      <c r="H11">
        <v>935200.00000000012</v>
      </c>
      <c r="I11">
        <v>1.69</v>
      </c>
      <c r="J11">
        <v>417500</v>
      </c>
      <c r="K11">
        <v>1.65</v>
      </c>
      <c r="L11">
        <v>1670000</v>
      </c>
      <c r="M11" s="4">
        <v>1636433</v>
      </c>
      <c r="N11" s="4">
        <v>2780299.6669999999</v>
      </c>
      <c r="O11" s="2"/>
      <c r="P11" s="2"/>
    </row>
    <row r="12" spans="1:16" x14ac:dyDescent="0.25">
      <c r="A12" s="2">
        <v>2002</v>
      </c>
      <c r="B12" s="3">
        <v>468</v>
      </c>
      <c r="C12" s="3">
        <v>17.100000000000001</v>
      </c>
      <c r="D12">
        <v>39</v>
      </c>
      <c r="E12" s="4">
        <v>1780952.3809523811</v>
      </c>
      <c r="F12">
        <v>59840</v>
      </c>
      <c r="G12">
        <v>1.97</v>
      </c>
      <c r="H12">
        <v>205700.00000000003</v>
      </c>
      <c r="I12">
        <v>1.84</v>
      </c>
      <c r="J12">
        <v>108459.99999999999</v>
      </c>
      <c r="K12">
        <v>1.81</v>
      </c>
      <c r="L12">
        <v>374000</v>
      </c>
      <c r="M12" s="4">
        <v>366071.2</v>
      </c>
      <c r="N12" s="4">
        <v>678000.46952000004</v>
      </c>
      <c r="O12" s="2"/>
      <c r="P12" s="2"/>
    </row>
    <row r="13" spans="1:16" x14ac:dyDescent="0.25">
      <c r="A13" s="2">
        <v>2003</v>
      </c>
      <c r="B13" s="3">
        <v>537</v>
      </c>
      <c r="C13" s="3">
        <v>17.2</v>
      </c>
      <c r="D13">
        <v>62</v>
      </c>
      <c r="E13" s="4">
        <v>3577777.777777778</v>
      </c>
      <c r="F13">
        <v>128800</v>
      </c>
      <c r="G13">
        <v>2.25</v>
      </c>
      <c r="H13">
        <v>354200</v>
      </c>
      <c r="I13">
        <v>2.16</v>
      </c>
      <c r="J13">
        <v>161000</v>
      </c>
      <c r="K13">
        <v>2.0099999999999998</v>
      </c>
      <c r="L13">
        <v>644000</v>
      </c>
      <c r="M13" s="4">
        <v>629445.6</v>
      </c>
      <c r="N13" s="4">
        <v>1347328.3068000001</v>
      </c>
      <c r="O13" s="2"/>
      <c r="P13" s="2"/>
    </row>
    <row r="14" spans="1:16" x14ac:dyDescent="0.25">
      <c r="A14" s="2">
        <v>2004</v>
      </c>
      <c r="B14" s="3">
        <v>565</v>
      </c>
      <c r="C14" s="3">
        <v>16.899999999999999</v>
      </c>
      <c r="D14">
        <v>48</v>
      </c>
      <c r="E14" s="4">
        <v>2476470.588235294</v>
      </c>
      <c r="F14">
        <v>84200</v>
      </c>
      <c r="G14">
        <v>2.44</v>
      </c>
      <c r="H14">
        <v>231550.00000000003</v>
      </c>
      <c r="I14">
        <v>2.35</v>
      </c>
      <c r="J14">
        <v>105250</v>
      </c>
      <c r="K14">
        <v>2.27</v>
      </c>
      <c r="L14">
        <v>421000</v>
      </c>
      <c r="M14" s="4">
        <v>411822.2</v>
      </c>
      <c r="N14" s="4">
        <v>966958.52560000028</v>
      </c>
      <c r="O14" s="2"/>
      <c r="P14" s="2"/>
    </row>
    <row r="15" spans="1:16" x14ac:dyDescent="0.25">
      <c r="A15" s="2">
        <v>2005</v>
      </c>
      <c r="B15" s="3">
        <v>245</v>
      </c>
      <c r="C15" s="3">
        <v>17.100000000000001</v>
      </c>
      <c r="D15">
        <v>37</v>
      </c>
      <c r="E15" s="4">
        <v>1400000</v>
      </c>
      <c r="F15">
        <v>61180</v>
      </c>
      <c r="G15">
        <v>3.05</v>
      </c>
      <c r="H15">
        <v>135660</v>
      </c>
      <c r="I15">
        <v>3</v>
      </c>
      <c r="J15">
        <v>69160</v>
      </c>
      <c r="K15">
        <v>2.88</v>
      </c>
      <c r="L15">
        <v>266000</v>
      </c>
      <c r="M15">
        <v>260414</v>
      </c>
      <c r="N15" s="4">
        <v>776111.84419999993</v>
      </c>
      <c r="O15" s="2"/>
      <c r="P15" s="2"/>
    </row>
    <row r="16" spans="1:16" x14ac:dyDescent="0.25">
      <c r="A16" s="2">
        <v>2006</v>
      </c>
      <c r="B16" s="3">
        <v>525</v>
      </c>
      <c r="C16" s="3">
        <v>17.600000000000001</v>
      </c>
      <c r="D16">
        <v>40</v>
      </c>
      <c r="E16" s="4">
        <v>2140909.0909090908</v>
      </c>
      <c r="F16">
        <v>103620</v>
      </c>
      <c r="G16">
        <v>3.35</v>
      </c>
      <c r="H16">
        <v>244920</v>
      </c>
      <c r="I16">
        <v>3.27</v>
      </c>
      <c r="J16">
        <v>122460</v>
      </c>
      <c r="K16">
        <v>3.17</v>
      </c>
      <c r="L16">
        <v>471000</v>
      </c>
      <c r="M16" s="4">
        <v>461344.5</v>
      </c>
      <c r="N16" s="4">
        <v>1504721.2212</v>
      </c>
      <c r="O16" s="2"/>
      <c r="P16" s="2"/>
    </row>
    <row r="17" spans="1:16" x14ac:dyDescent="0.25">
      <c r="A17" s="2">
        <v>2007</v>
      </c>
      <c r="B17" s="3">
        <v>412</v>
      </c>
      <c r="C17" s="3">
        <v>16.8</v>
      </c>
      <c r="D17">
        <v>58</v>
      </c>
      <c r="E17" s="4">
        <v>3075000</v>
      </c>
      <c r="F17">
        <v>98400</v>
      </c>
      <c r="G17">
        <v>2.57</v>
      </c>
      <c r="H17">
        <v>270600</v>
      </c>
      <c r="I17">
        <v>2.46</v>
      </c>
      <c r="J17">
        <v>123000</v>
      </c>
      <c r="K17">
        <v>2.4</v>
      </c>
      <c r="L17">
        <v>492000</v>
      </c>
      <c r="M17" s="4">
        <v>481274.4</v>
      </c>
      <c r="N17" s="4">
        <v>1187303.9447999999</v>
      </c>
      <c r="O17" s="2"/>
      <c r="P17" s="2"/>
    </row>
    <row r="18" spans="1:16" x14ac:dyDescent="0.25">
      <c r="A18" s="2">
        <v>2008</v>
      </c>
      <c r="B18" s="3">
        <v>538</v>
      </c>
      <c r="C18" s="3">
        <v>16.899999999999999</v>
      </c>
      <c r="D18">
        <v>43</v>
      </c>
      <c r="E18" s="4">
        <v>2170000</v>
      </c>
      <c r="F18">
        <v>82460</v>
      </c>
      <c r="G18">
        <v>2.4300000000000002</v>
      </c>
      <c r="H18">
        <v>234360.00000000003</v>
      </c>
      <c r="I18">
        <v>2.36</v>
      </c>
      <c r="J18">
        <v>117180.00000000001</v>
      </c>
      <c r="K18">
        <v>2.2999999999999998</v>
      </c>
      <c r="L18">
        <v>434000</v>
      </c>
      <c r="M18">
        <v>424669</v>
      </c>
      <c r="N18" s="4">
        <v>1000987.2999000001</v>
      </c>
      <c r="O18" s="2"/>
      <c r="P18" s="2"/>
    </row>
    <row r="19" spans="1:16" x14ac:dyDescent="0.25">
      <c r="A19" s="2">
        <v>2009</v>
      </c>
      <c r="B19" s="3">
        <v>561</v>
      </c>
      <c r="C19" s="3">
        <v>17.7</v>
      </c>
      <c r="D19">
        <v>42</v>
      </c>
      <c r="E19" s="4">
        <v>2155277.777777778</v>
      </c>
      <c r="F19">
        <v>77590</v>
      </c>
      <c r="G19">
        <v>2.02</v>
      </c>
      <c r="H19" s="4">
        <v>213372.50000000003</v>
      </c>
      <c r="I19" s="5">
        <v>1.95</v>
      </c>
      <c r="J19" s="4">
        <v>96987.5</v>
      </c>
      <c r="K19">
        <v>1.89</v>
      </c>
      <c r="L19">
        <v>387950</v>
      </c>
      <c r="M19" s="4">
        <v>378833.17499999999</v>
      </c>
      <c r="N19" s="4">
        <v>738345.858075</v>
      </c>
      <c r="O19" s="2"/>
      <c r="P19" s="2"/>
    </row>
    <row r="20" spans="1:16" x14ac:dyDescent="0.25">
      <c r="A20" s="2">
        <v>2010</v>
      </c>
      <c r="B20" s="3">
        <v>988</v>
      </c>
      <c r="C20" s="3">
        <v>17</v>
      </c>
      <c r="D20">
        <v>81</v>
      </c>
      <c r="E20" s="4">
        <v>7588235.2941176463</v>
      </c>
      <c r="F20">
        <v>283800</v>
      </c>
      <c r="G20">
        <v>2.0499999999999998</v>
      </c>
      <c r="H20">
        <v>683700</v>
      </c>
      <c r="I20">
        <v>1.86</v>
      </c>
      <c r="J20">
        <v>322500</v>
      </c>
      <c r="K20">
        <v>1.73</v>
      </c>
      <c r="L20">
        <v>1290000</v>
      </c>
      <c r="M20">
        <v>1259040</v>
      </c>
      <c r="N20" s="4">
        <v>2353523.4720000001</v>
      </c>
      <c r="O20" s="2"/>
      <c r="P20" s="2"/>
    </row>
    <row r="21" spans="1:16" x14ac:dyDescent="0.25">
      <c r="A21" s="2">
        <v>2011</v>
      </c>
      <c r="B21" s="3">
        <v>747</v>
      </c>
      <c r="C21" s="3">
        <v>17.8</v>
      </c>
      <c r="D21">
        <v>60</v>
      </c>
      <c r="E21" s="4">
        <v>3563157.8947368423</v>
      </c>
      <c r="F21">
        <v>135400</v>
      </c>
      <c r="G21">
        <v>1.96</v>
      </c>
      <c r="H21">
        <v>372350.00000000006</v>
      </c>
      <c r="I21">
        <v>1.75</v>
      </c>
      <c r="J21">
        <v>169250</v>
      </c>
      <c r="K21">
        <v>1.65</v>
      </c>
      <c r="L21">
        <v>677000</v>
      </c>
      <c r="M21">
        <v>662106</v>
      </c>
      <c r="N21" s="4">
        <v>1169941.3020000001</v>
      </c>
      <c r="O21" s="2"/>
      <c r="P21" s="2"/>
    </row>
    <row r="22" spans="1:16" x14ac:dyDescent="0.25">
      <c r="A22" s="2">
        <v>2012</v>
      </c>
      <c r="B22" s="3">
        <v>266</v>
      </c>
      <c r="C22" s="3">
        <v>17.2</v>
      </c>
      <c r="D22">
        <v>26</v>
      </c>
      <c r="E22" s="4">
        <v>777777.77777777775</v>
      </c>
      <c r="F22">
        <v>26600</v>
      </c>
      <c r="G22">
        <v>2.0099999999999998</v>
      </c>
      <c r="H22">
        <v>77000</v>
      </c>
      <c r="I22">
        <v>1.89</v>
      </c>
      <c r="J22">
        <v>36400</v>
      </c>
      <c r="K22">
        <v>1.79</v>
      </c>
      <c r="L22">
        <v>140000</v>
      </c>
      <c r="M22">
        <v>136990</v>
      </c>
      <c r="N22" s="4">
        <v>258472.73199999999</v>
      </c>
      <c r="O22" s="2"/>
      <c r="P22" s="2"/>
    </row>
    <row r="23" spans="1:16" x14ac:dyDescent="0.25">
      <c r="A23" s="2">
        <v>2013</v>
      </c>
      <c r="B23" s="3">
        <v>1073</v>
      </c>
      <c r="C23" s="3">
        <v>16.5</v>
      </c>
      <c r="D23">
        <v>69</v>
      </c>
      <c r="E23" s="4">
        <v>5013333.333333334</v>
      </c>
      <c r="F23">
        <v>135360</v>
      </c>
      <c r="G23">
        <v>2.69</v>
      </c>
      <c r="H23">
        <v>428639.99999999994</v>
      </c>
      <c r="I23">
        <v>2.5</v>
      </c>
      <c r="J23">
        <v>188000</v>
      </c>
      <c r="K23">
        <v>2.37</v>
      </c>
      <c r="L23">
        <v>752000</v>
      </c>
      <c r="M23">
        <v>734704</v>
      </c>
      <c r="N23" s="4">
        <v>1838008.9967999998</v>
      </c>
      <c r="O23" s="2"/>
      <c r="P23" s="2"/>
    </row>
    <row r="24" spans="1:16" x14ac:dyDescent="0.25">
      <c r="A24" s="2">
        <v>2014</v>
      </c>
      <c r="B24" s="3">
        <v>525</v>
      </c>
      <c r="C24" s="3">
        <v>17.5</v>
      </c>
      <c r="D24">
        <v>34</v>
      </c>
      <c r="E24" s="4">
        <v>1218947.3684210526</v>
      </c>
      <c r="F24">
        <v>39372</v>
      </c>
      <c r="G24">
        <v>2.31</v>
      </c>
      <c r="H24">
        <v>115800</v>
      </c>
      <c r="I24">
        <v>2.13</v>
      </c>
      <c r="J24">
        <v>76428</v>
      </c>
      <c r="K24">
        <v>2</v>
      </c>
      <c r="L24">
        <v>231600</v>
      </c>
      <c r="M24" s="4">
        <v>226736.4</v>
      </c>
      <c r="N24" s="4">
        <v>480159.67427999992</v>
      </c>
      <c r="O24" s="2"/>
      <c r="P24" s="2"/>
    </row>
    <row r="25" spans="1:16" x14ac:dyDescent="0.25">
      <c r="A25" s="2">
        <v>2015</v>
      </c>
      <c r="B25" s="3">
        <v>434</v>
      </c>
      <c r="C25" s="3">
        <v>18.2</v>
      </c>
      <c r="D25">
        <v>53</v>
      </c>
      <c r="E25" s="4">
        <v>2694444.4444444445</v>
      </c>
      <c r="F25">
        <v>97000</v>
      </c>
      <c r="G25">
        <v>3.44</v>
      </c>
      <c r="H25">
        <v>242500</v>
      </c>
      <c r="I25">
        <v>3.18</v>
      </c>
      <c r="J25">
        <v>145500</v>
      </c>
      <c r="K25">
        <v>2.97</v>
      </c>
      <c r="L25">
        <v>485000</v>
      </c>
      <c r="M25">
        <v>474330</v>
      </c>
      <c r="N25" s="4">
        <v>1503151.77</v>
      </c>
      <c r="O25" s="2"/>
      <c r="P25" s="2"/>
    </row>
    <row r="26" spans="1:16" x14ac:dyDescent="0.25">
      <c r="A26" s="2">
        <v>2016</v>
      </c>
      <c r="B26" s="3">
        <v>554</v>
      </c>
      <c r="C26" s="3">
        <v>17.8</v>
      </c>
      <c r="D26">
        <v>51</v>
      </c>
      <c r="E26" s="4">
        <v>2409523.8095238097</v>
      </c>
      <c r="F26">
        <v>91080</v>
      </c>
      <c r="G26">
        <v>3.2</v>
      </c>
      <c r="H26">
        <v>278300</v>
      </c>
      <c r="I26">
        <v>3.07</v>
      </c>
      <c r="J26">
        <v>136620</v>
      </c>
      <c r="K26">
        <v>2.94</v>
      </c>
      <c r="L26">
        <v>506000</v>
      </c>
      <c r="M26">
        <v>493350</v>
      </c>
      <c r="N26" s="4">
        <v>1508812.3049999999</v>
      </c>
      <c r="O26" s="2"/>
      <c r="P26" s="2"/>
    </row>
    <row r="27" spans="1:16" x14ac:dyDescent="0.25">
      <c r="A27" s="2">
        <v>2017</v>
      </c>
      <c r="B27" s="3">
        <v>461</v>
      </c>
      <c r="C27" s="3">
        <v>18.7</v>
      </c>
      <c r="D27">
        <v>44</v>
      </c>
      <c r="E27" s="4">
        <v>2008733.3333333333</v>
      </c>
      <c r="F27" s="4">
        <v>278109.13</v>
      </c>
      <c r="G27" s="4">
        <v>3.77</v>
      </c>
      <c r="H27" s="4">
        <v>94008.72</v>
      </c>
      <c r="I27">
        <v>3.68</v>
      </c>
      <c r="J27" s="4">
        <v>19585.150000000001</v>
      </c>
      <c r="K27">
        <v>3.61</v>
      </c>
      <c r="L27">
        <v>391703</v>
      </c>
      <c r="M27" s="4">
        <v>383868.94</v>
      </c>
      <c r="N27" s="4">
        <v>1435823.3831760001</v>
      </c>
      <c r="O27" s="2"/>
      <c r="P27" s="2"/>
    </row>
    <row r="28" spans="1:16" x14ac:dyDescent="0.25">
      <c r="A28" s="2">
        <v>2018</v>
      </c>
      <c r="B28" s="3">
        <v>787</v>
      </c>
      <c r="C28" s="3">
        <v>16.8</v>
      </c>
      <c r="D28">
        <v>47</v>
      </c>
      <c r="E28" s="4">
        <v>2395105.2631578948</v>
      </c>
      <c r="F28">
        <v>182028</v>
      </c>
      <c r="G28">
        <v>3.05</v>
      </c>
      <c r="H28" s="4">
        <v>250288.50000000003</v>
      </c>
      <c r="I28">
        <v>2.8</v>
      </c>
      <c r="J28" s="4">
        <v>22753.5</v>
      </c>
      <c r="K28">
        <v>2.65</v>
      </c>
      <c r="L28">
        <v>455070</v>
      </c>
      <c r="M28" s="4">
        <v>446196.13500000001</v>
      </c>
      <c r="N28" s="4">
        <v>1290622.3204874999</v>
      </c>
      <c r="O28" s="2"/>
      <c r="P28" s="2"/>
    </row>
    <row r="29" spans="1:16" x14ac:dyDescent="0.25">
      <c r="A29" s="2">
        <v>2019</v>
      </c>
      <c r="B29" s="3">
        <v>392</v>
      </c>
      <c r="C29" s="3">
        <v>17.899999999999999</v>
      </c>
      <c r="D29">
        <v>38</v>
      </c>
      <c r="E29" s="4">
        <v>1795454.5454545454</v>
      </c>
      <c r="F29">
        <v>90850</v>
      </c>
      <c r="G29">
        <v>2.4</v>
      </c>
      <c r="H29">
        <v>225149.99999999997</v>
      </c>
      <c r="I29">
        <v>2.11</v>
      </c>
      <c r="J29">
        <v>79000</v>
      </c>
      <c r="K29">
        <v>1.72</v>
      </c>
      <c r="L29">
        <v>395000</v>
      </c>
      <c r="M29">
        <v>386705</v>
      </c>
      <c r="N29" s="4">
        <v>811577.7834999999</v>
      </c>
      <c r="O29" s="2"/>
      <c r="P29" s="2"/>
    </row>
    <row r="30" spans="1:16" x14ac:dyDescent="0.25">
      <c r="A30" s="2">
        <v>2020</v>
      </c>
      <c r="B30" s="3">
        <v>700</v>
      </c>
      <c r="C30" s="3">
        <v>18.399999999999999</v>
      </c>
      <c r="D30">
        <v>86</v>
      </c>
      <c r="E30" s="4">
        <v>6842105.2631578948</v>
      </c>
      <c r="F30">
        <v>130000</v>
      </c>
      <c r="G30">
        <v>2.15</v>
      </c>
      <c r="H30">
        <v>572000</v>
      </c>
      <c r="I30">
        <v>1.86</v>
      </c>
      <c r="J30">
        <v>598000</v>
      </c>
      <c r="K30">
        <v>1.76</v>
      </c>
      <c r="L30">
        <v>1300000</v>
      </c>
      <c r="M30">
        <v>1275300</v>
      </c>
      <c r="N30" s="4">
        <v>2350377.9</v>
      </c>
      <c r="O30" s="2"/>
      <c r="P30" s="2"/>
    </row>
    <row r="31" spans="1:16" x14ac:dyDescent="0.25">
      <c r="A31" s="2">
        <v>2021</v>
      </c>
      <c r="B31" s="3">
        <v>524</v>
      </c>
      <c r="C31" s="3">
        <v>17.899999999999999</v>
      </c>
      <c r="D31">
        <v>56</v>
      </c>
      <c r="E31" s="4">
        <v>2777777.777777778</v>
      </c>
      <c r="F31">
        <v>215000</v>
      </c>
      <c r="G31">
        <v>3.41</v>
      </c>
      <c r="H31">
        <v>145000</v>
      </c>
      <c r="I31">
        <v>3.05</v>
      </c>
      <c r="J31">
        <v>140000</v>
      </c>
      <c r="K31">
        <v>2.88</v>
      </c>
      <c r="L31">
        <v>500000</v>
      </c>
      <c r="M31">
        <v>489000</v>
      </c>
      <c r="N31" s="4">
        <v>1543870.8000000003</v>
      </c>
      <c r="O31" s="2"/>
      <c r="P31" s="2"/>
    </row>
    <row r="32" spans="1:16" x14ac:dyDescent="0.25">
      <c r="A32" s="2">
        <v>2022</v>
      </c>
      <c r="B32" s="3">
        <v>476</v>
      </c>
      <c r="C32" s="3">
        <v>18.899999999999999</v>
      </c>
      <c r="D32">
        <v>30</v>
      </c>
      <c r="E32" s="4">
        <v>1052631.5789473683</v>
      </c>
      <c r="F32">
        <v>50000</v>
      </c>
      <c r="G32">
        <v>8.4</v>
      </c>
      <c r="H32">
        <v>120000</v>
      </c>
      <c r="I32">
        <v>7.58</v>
      </c>
      <c r="J32">
        <v>30000</v>
      </c>
      <c r="K32">
        <v>6.99</v>
      </c>
      <c r="L32">
        <v>200000</v>
      </c>
      <c r="M32">
        <v>195400</v>
      </c>
      <c r="N32" s="4">
        <v>1503896.0999999999</v>
      </c>
      <c r="O32" s="2"/>
      <c r="P32" s="2"/>
    </row>
    <row r="33" spans="1:16" x14ac:dyDescent="0.25">
      <c r="A33" s="2">
        <v>2023</v>
      </c>
      <c r="B33" s="3">
        <v>413</v>
      </c>
      <c r="C33" s="3">
        <v>18.5</v>
      </c>
      <c r="D33">
        <v>33</v>
      </c>
      <c r="E33" s="4">
        <v>1194444.4444444445</v>
      </c>
      <c r="F33">
        <v>47300</v>
      </c>
      <c r="G33">
        <v>5.2</v>
      </c>
      <c r="H33">
        <v>118250.00000000001</v>
      </c>
      <c r="I33">
        <v>4.9000000000000004</v>
      </c>
      <c r="J33">
        <v>49450</v>
      </c>
      <c r="K33">
        <v>4.7</v>
      </c>
      <c r="L33">
        <v>215000</v>
      </c>
      <c r="M33">
        <v>210700</v>
      </c>
      <c r="N33" s="4">
        <v>1036644.0000000002</v>
      </c>
      <c r="O33" s="2"/>
      <c r="P33" s="2"/>
    </row>
    <row r="34" spans="1:16" x14ac:dyDescent="0.25">
      <c r="A34" s="2">
        <v>2024</v>
      </c>
      <c r="B34" s="3">
        <v>643</v>
      </c>
      <c r="C34" s="3">
        <v>18.8</v>
      </c>
      <c r="D34">
        <v>55</v>
      </c>
      <c r="E34" s="4">
        <v>7125000</v>
      </c>
      <c r="F34">
        <v>612750</v>
      </c>
      <c r="G34">
        <v>4.2</v>
      </c>
      <c r="H34">
        <v>484500.00000000006</v>
      </c>
      <c r="I34">
        <v>3.6</v>
      </c>
      <c r="J34">
        <v>327750</v>
      </c>
      <c r="K34">
        <v>3.45</v>
      </c>
      <c r="L34">
        <v>1425000</v>
      </c>
      <c r="M34">
        <v>1395075</v>
      </c>
      <c r="N34" s="4">
        <v>5334069.2625000002</v>
      </c>
      <c r="O34" s="2"/>
      <c r="P34" s="2"/>
    </row>
    <row r="35" spans="1:16" x14ac:dyDescent="0.25">
      <c r="A35" s="2"/>
      <c r="B35" s="3"/>
      <c r="C35" s="3"/>
      <c r="O35" s="2"/>
    </row>
    <row r="36" spans="1:16" x14ac:dyDescent="0.25">
      <c r="A36" s="2"/>
      <c r="B36" s="3"/>
      <c r="C36" s="3"/>
      <c r="O36" s="2"/>
    </row>
    <row r="37" spans="1:16" x14ac:dyDescent="0.25">
      <c r="A37" s="2"/>
      <c r="B37" s="3"/>
      <c r="C37" s="3"/>
      <c r="O37" s="2"/>
    </row>
    <row r="38" spans="1:16" x14ac:dyDescent="0.25">
      <c r="A38" s="2"/>
      <c r="B38" s="3"/>
      <c r="C38" s="3"/>
      <c r="O38" s="2"/>
    </row>
    <row r="39" spans="1:16" x14ac:dyDescent="0.25">
      <c r="A39" s="2"/>
      <c r="B39" s="3"/>
      <c r="C39" s="3"/>
      <c r="O39" s="2"/>
    </row>
    <row r="40" spans="1:16" x14ac:dyDescent="0.25">
      <c r="A40" s="2"/>
      <c r="B40" s="3"/>
      <c r="C40" s="3"/>
      <c r="O40" s="2"/>
    </row>
    <row r="41" spans="1:16" x14ac:dyDescent="0.25">
      <c r="A41" s="2"/>
      <c r="B41" s="3"/>
      <c r="C41" s="3"/>
      <c r="O41" s="2"/>
    </row>
    <row r="42" spans="1:16" x14ac:dyDescent="0.25">
      <c r="A42" s="2"/>
      <c r="B42" s="3"/>
      <c r="C42" s="3"/>
      <c r="O42" s="2"/>
    </row>
    <row r="43" spans="1:16" x14ac:dyDescent="0.25">
      <c r="A43" s="2"/>
      <c r="B43" s="3"/>
      <c r="C43" s="3"/>
      <c r="O43" s="2"/>
    </row>
    <row r="44" spans="1:16" x14ac:dyDescent="0.25">
      <c r="A44" s="2"/>
      <c r="B44" s="3"/>
      <c r="C44" s="3"/>
      <c r="O44" s="2"/>
    </row>
    <row r="45" spans="1:16" x14ac:dyDescent="0.25">
      <c r="A45" s="2"/>
      <c r="B45" s="3"/>
      <c r="C45" s="3"/>
      <c r="O45" s="2"/>
    </row>
    <row r="46" spans="1:16" x14ac:dyDescent="0.25">
      <c r="A46" s="2"/>
      <c r="B46" s="3"/>
      <c r="C46" s="3"/>
      <c r="O46" s="2"/>
    </row>
    <row r="47" spans="1:16" x14ac:dyDescent="0.25">
      <c r="A47" s="2"/>
      <c r="B47" s="3"/>
      <c r="C47" s="3"/>
      <c r="O47" s="2"/>
    </row>
    <row r="48" spans="1:16" x14ac:dyDescent="0.25">
      <c r="A48" s="2"/>
      <c r="B48" s="3"/>
      <c r="C48" s="3"/>
      <c r="O48" s="2"/>
    </row>
    <row r="49" spans="1:15" x14ac:dyDescent="0.25">
      <c r="A49" s="2"/>
      <c r="B49" s="3"/>
      <c r="C49" s="3"/>
      <c r="O49" s="2"/>
    </row>
    <row r="50" spans="1:15" x14ac:dyDescent="0.25">
      <c r="A50" s="2"/>
      <c r="B50" s="3"/>
      <c r="C50" s="3"/>
      <c r="O50" s="2"/>
    </row>
    <row r="51" spans="1:15" x14ac:dyDescent="0.25">
      <c r="A51" s="2"/>
      <c r="B51" s="3"/>
      <c r="C51" s="3"/>
      <c r="O51" s="2"/>
    </row>
    <row r="52" spans="1:15" x14ac:dyDescent="0.25">
      <c r="A52" s="2"/>
      <c r="B52" s="3"/>
      <c r="C52" s="3"/>
      <c r="O52" s="2"/>
    </row>
    <row r="53" spans="1:15" x14ac:dyDescent="0.25">
      <c r="A53" s="2"/>
      <c r="B53" s="3"/>
      <c r="C53" s="3"/>
      <c r="O53" s="2"/>
    </row>
  </sheetData>
  <sortState xmlns:xlrd2="http://schemas.microsoft.com/office/spreadsheetml/2017/richdata2" ref="A2:N34">
    <sortCondition ref="A2:A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751B-D4CA-44C6-9781-C79BAB5E2B1D}">
  <dimension ref="A1:R38"/>
  <sheetViews>
    <sheetView topLeftCell="M1" workbookViewId="0">
      <selection activeCell="R2" sqref="R2"/>
    </sheetView>
  </sheetViews>
  <sheetFormatPr baseColWidth="10" defaultRowHeight="15" x14ac:dyDescent="0.25"/>
  <cols>
    <col min="1" max="1" width="13.5703125" bestFit="1" customWidth="1"/>
    <col min="2" max="2" width="20.7109375" bestFit="1" customWidth="1"/>
    <col min="3" max="3" width="19.140625" bestFit="1" customWidth="1"/>
    <col min="4" max="4" width="23.140625" bestFit="1" customWidth="1"/>
    <col min="5" max="5" width="13.42578125" bestFit="1" customWidth="1"/>
    <col min="7" max="7" width="8" bestFit="1" customWidth="1"/>
    <col min="8" max="8" width="15.85546875" customWidth="1"/>
    <col min="14" max="14" width="11.5703125" bestFit="1" customWidth="1"/>
    <col min="16" max="16" width="11.85546875" bestFit="1" customWidth="1"/>
    <col min="17" max="17" width="12.7109375" bestFit="1" customWidth="1"/>
    <col min="18" max="18" width="8.85546875" customWidth="1"/>
    <col min="19" max="19" width="15.28515625" customWidth="1"/>
    <col min="25" max="25" width="11.42578125" bestFit="1" customWidth="1"/>
    <col min="26" max="26" width="12.85546875" bestFit="1" customWidth="1"/>
  </cols>
  <sheetData>
    <row r="1" spans="1:18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51</v>
      </c>
      <c r="H1" s="1" t="s">
        <v>62</v>
      </c>
    </row>
    <row r="2" spans="1:18" x14ac:dyDescent="0.25">
      <c r="A2" s="2">
        <v>1994</v>
      </c>
      <c r="B2" s="3">
        <v>169</v>
      </c>
      <c r="C2" s="3">
        <v>17</v>
      </c>
      <c r="D2">
        <v>27</v>
      </c>
      <c r="E2" s="4">
        <v>776190.47619047621</v>
      </c>
      <c r="F2">
        <f>_xlfn.IFS(B2&lt;=$K$3,1,B2&lt;=$K$4,2,B2&lt;=$K$5,3,B2&lt;=$K$6,4)</f>
        <v>1</v>
      </c>
      <c r="H2" s="28" t="s">
        <v>21</v>
      </c>
      <c r="I2" s="28" t="s">
        <v>20</v>
      </c>
      <c r="J2" s="28" t="s">
        <v>23</v>
      </c>
      <c r="K2" s="28" t="s">
        <v>24</v>
      </c>
      <c r="L2" s="28" t="s">
        <v>25</v>
      </c>
      <c r="M2" s="28" t="s">
        <v>27</v>
      </c>
      <c r="O2" s="7" t="s">
        <v>29</v>
      </c>
      <c r="P2" s="9">
        <f>MAX(B2:B34)</f>
        <v>1073</v>
      </c>
      <c r="Q2" s="28" t="s">
        <v>52</v>
      </c>
      <c r="R2" s="1" t="s">
        <v>69</v>
      </c>
    </row>
    <row r="3" spans="1:18" x14ac:dyDescent="0.25">
      <c r="A3" s="2">
        <v>1995</v>
      </c>
      <c r="B3" s="3">
        <v>244</v>
      </c>
      <c r="C3" s="3">
        <v>17.8</v>
      </c>
      <c r="D3">
        <v>24</v>
      </c>
      <c r="E3" s="4">
        <v>510526.31578947365</v>
      </c>
      <c r="F3">
        <f t="shared" ref="F3:F34" si="0">_xlfn.IFS(B3&lt;=$K$3,1,B3&lt;=$K$4,2,B3&lt;=$K$5,3,B3&lt;=$K$6,4)</f>
        <v>1</v>
      </c>
      <c r="H3">
        <v>1</v>
      </c>
      <c r="I3" s="21" t="s">
        <v>15</v>
      </c>
      <c r="J3">
        <f>P3</f>
        <v>169</v>
      </c>
      <c r="K3">
        <f>J3+$P$7</f>
        <v>395</v>
      </c>
      <c r="L3">
        <f>COUNTIF(F:F,H3)</f>
        <v>7</v>
      </c>
      <c r="M3" s="37">
        <f>L3/$L$7</f>
        <v>0.21212121212121213</v>
      </c>
      <c r="N3" s="35"/>
      <c r="O3" s="7" t="s">
        <v>30</v>
      </c>
      <c r="P3" s="9">
        <f>MIN(B2:B34)</f>
        <v>169</v>
      </c>
      <c r="Q3">
        <f>AVERAGEIFS($E$2:$E$34,$B$2:$B$34,"&gt;="&amp;J3,$B$2:$B$34,"&lt;="&amp;K3)</f>
        <v>1349437.175189055</v>
      </c>
    </row>
    <row r="4" spans="1:18" x14ac:dyDescent="0.25">
      <c r="A4" s="2">
        <v>2005</v>
      </c>
      <c r="B4" s="3">
        <v>245</v>
      </c>
      <c r="C4" s="3">
        <v>17.100000000000001</v>
      </c>
      <c r="D4">
        <v>37</v>
      </c>
      <c r="E4" s="4">
        <v>1400000</v>
      </c>
      <c r="F4">
        <f t="shared" si="0"/>
        <v>1</v>
      </c>
      <c r="H4">
        <v>2</v>
      </c>
      <c r="I4" s="15" t="s">
        <v>16</v>
      </c>
      <c r="J4">
        <f>K3</f>
        <v>395</v>
      </c>
      <c r="K4">
        <f>J4+$P$7</f>
        <v>621</v>
      </c>
      <c r="L4">
        <f t="shared" ref="L4:L6" si="1">COUNTIF(F:F,H4)</f>
        <v>16</v>
      </c>
      <c r="M4" s="37">
        <f>L4/$L$7</f>
        <v>0.48484848484848486</v>
      </c>
      <c r="O4" s="8"/>
      <c r="P4" s="9"/>
      <c r="Q4">
        <f>AVERAGEIFS($E$2:$E$34,$B$2:$B$34,"&gt;"&amp;J4,$B$2:$B$34,"&lt;="&amp;K4)</f>
        <v>2128984.4760352308</v>
      </c>
    </row>
    <row r="5" spans="1:18" x14ac:dyDescent="0.25">
      <c r="A5" s="2">
        <v>2012</v>
      </c>
      <c r="B5" s="3">
        <v>266</v>
      </c>
      <c r="C5" s="3">
        <v>17.2</v>
      </c>
      <c r="D5">
        <v>26</v>
      </c>
      <c r="E5" s="4">
        <v>777777.77777777775</v>
      </c>
      <c r="F5">
        <f t="shared" si="0"/>
        <v>1</v>
      </c>
      <c r="H5">
        <v>3</v>
      </c>
      <c r="I5" s="16" t="s">
        <v>17</v>
      </c>
      <c r="J5">
        <f t="shared" ref="J5:J6" si="2">K4</f>
        <v>621</v>
      </c>
      <c r="K5">
        <f>J5+$P$7</f>
        <v>847</v>
      </c>
      <c r="L5">
        <f t="shared" si="1"/>
        <v>8</v>
      </c>
      <c r="M5" s="37">
        <f>L5/$L$7</f>
        <v>0.24242424242424243</v>
      </c>
      <c r="O5" s="7" t="s">
        <v>31</v>
      </c>
      <c r="P5" s="9">
        <f>P2-P3</f>
        <v>904</v>
      </c>
      <c r="Q5">
        <f>AVERAGEIFS($E$2:$E$34,$B$2:$B$34,"&gt;"&amp;J5,$B$2:$B$34,"&lt;="&amp;K5)</f>
        <v>4852118.4210526319</v>
      </c>
    </row>
    <row r="6" spans="1:18" x14ac:dyDescent="0.25">
      <c r="A6" s="2">
        <v>1999</v>
      </c>
      <c r="B6" s="3">
        <v>273</v>
      </c>
      <c r="C6" s="3">
        <v>16.8</v>
      </c>
      <c r="D6">
        <v>35</v>
      </c>
      <c r="E6" s="4">
        <v>1375000</v>
      </c>
      <c r="F6">
        <f t="shared" si="0"/>
        <v>1</v>
      </c>
      <c r="H6">
        <v>4</v>
      </c>
      <c r="I6" s="22" t="s">
        <v>18</v>
      </c>
      <c r="J6">
        <f t="shared" si="2"/>
        <v>847</v>
      </c>
      <c r="K6">
        <f>J6+$P$7</f>
        <v>1073</v>
      </c>
      <c r="L6">
        <f t="shared" si="1"/>
        <v>2</v>
      </c>
      <c r="M6" s="37">
        <f>L6/$L$7</f>
        <v>6.0606060606060608E-2</v>
      </c>
      <c r="O6" s="7" t="s">
        <v>32</v>
      </c>
      <c r="P6" s="9">
        <v>4</v>
      </c>
      <c r="Q6">
        <f>AVERAGEIFS($E$2:$E$34,$B$2:$B$34,"&gt;"&amp;J6,$B$2:$B$34,"&lt;="&amp;K6)</f>
        <v>6300784.3137254901</v>
      </c>
    </row>
    <row r="7" spans="1:18" x14ac:dyDescent="0.25">
      <c r="A7" s="2">
        <v>1993</v>
      </c>
      <c r="B7" s="3">
        <v>306</v>
      </c>
      <c r="C7" s="3">
        <v>15.7</v>
      </c>
      <c r="D7">
        <v>57</v>
      </c>
      <c r="E7" s="4">
        <v>2811111.111111111</v>
      </c>
      <c r="F7">
        <f t="shared" si="0"/>
        <v>1</v>
      </c>
      <c r="H7" s="28" t="s">
        <v>34</v>
      </c>
      <c r="I7" s="29"/>
      <c r="J7" s="29"/>
      <c r="K7" s="29"/>
      <c r="L7" s="28">
        <f>SUM(L2:L6)</f>
        <v>33</v>
      </c>
      <c r="M7" s="30">
        <f>SUM(M3:M6)</f>
        <v>1</v>
      </c>
      <c r="O7" s="7" t="s">
        <v>33</v>
      </c>
      <c r="P7" s="9">
        <f>P5/P6</f>
        <v>226</v>
      </c>
    </row>
    <row r="8" spans="1:18" x14ac:dyDescent="0.25">
      <c r="A8" s="2">
        <v>2019</v>
      </c>
      <c r="B8" s="3">
        <v>392</v>
      </c>
      <c r="C8" s="3">
        <v>17.899999999999999</v>
      </c>
      <c r="D8">
        <v>38</v>
      </c>
      <c r="E8" s="4">
        <v>1795454.5454545454</v>
      </c>
      <c r="F8">
        <f t="shared" si="0"/>
        <v>1</v>
      </c>
      <c r="G8" s="4">
        <f>AVERAGE(E2:E8)</f>
        <v>1349437.175189055</v>
      </c>
      <c r="H8" t="s">
        <v>36</v>
      </c>
      <c r="I8" s="9" t="str">
        <f>IF(L7=COUNT(F:F),"OK","ERROR")</f>
        <v>OK</v>
      </c>
      <c r="M8" s="31"/>
    </row>
    <row r="9" spans="1:18" x14ac:dyDescent="0.25">
      <c r="A9" s="2">
        <v>2007</v>
      </c>
      <c r="B9" s="3">
        <v>412</v>
      </c>
      <c r="C9" s="3">
        <v>16.8</v>
      </c>
      <c r="D9">
        <v>58</v>
      </c>
      <c r="E9" s="4">
        <v>3075000</v>
      </c>
      <c r="F9">
        <f t="shared" si="0"/>
        <v>2</v>
      </c>
      <c r="O9" s="28" t="s">
        <v>50</v>
      </c>
      <c r="P9" s="9">
        <f>AVERAGE(B:B)</f>
        <v>537</v>
      </c>
    </row>
    <row r="10" spans="1:18" x14ac:dyDescent="0.25">
      <c r="A10" s="2">
        <v>2023</v>
      </c>
      <c r="B10" s="3">
        <v>413</v>
      </c>
      <c r="C10" s="3">
        <v>18.5</v>
      </c>
      <c r="D10">
        <v>33</v>
      </c>
      <c r="E10" s="4">
        <v>1194444.4444444445</v>
      </c>
      <c r="F10">
        <f t="shared" si="0"/>
        <v>2</v>
      </c>
      <c r="O10" s="28" t="s">
        <v>49</v>
      </c>
      <c r="P10" s="9">
        <f>MEDIAN(B:B)</f>
        <v>525</v>
      </c>
    </row>
    <row r="11" spans="1:18" x14ac:dyDescent="0.25">
      <c r="A11" s="2">
        <v>2015</v>
      </c>
      <c r="B11" s="3">
        <v>434</v>
      </c>
      <c r="C11" s="3">
        <v>18.2</v>
      </c>
      <c r="D11">
        <v>53</v>
      </c>
      <c r="E11" s="4">
        <v>2694444.4444444445</v>
      </c>
      <c r="F11">
        <f t="shared" si="0"/>
        <v>2</v>
      </c>
    </row>
    <row r="12" spans="1:18" x14ac:dyDescent="0.25">
      <c r="A12" s="2">
        <v>2017</v>
      </c>
      <c r="B12" s="3">
        <v>461</v>
      </c>
      <c r="C12" s="3">
        <v>18.7</v>
      </c>
      <c r="D12">
        <v>44</v>
      </c>
      <c r="E12" s="4">
        <v>2008733.3333333333</v>
      </c>
      <c r="F12">
        <f t="shared" si="0"/>
        <v>2</v>
      </c>
    </row>
    <row r="13" spans="1:18" x14ac:dyDescent="0.25">
      <c r="A13" s="2">
        <v>2002</v>
      </c>
      <c r="B13" s="3">
        <v>468</v>
      </c>
      <c r="C13" s="3">
        <v>17.100000000000001</v>
      </c>
      <c r="D13">
        <v>39</v>
      </c>
      <c r="E13" s="4">
        <v>1780952.3809523811</v>
      </c>
      <c r="F13">
        <f t="shared" si="0"/>
        <v>2</v>
      </c>
      <c r="H13" s="1" t="s">
        <v>48</v>
      </c>
      <c r="O13" s="7" t="s">
        <v>29</v>
      </c>
      <c r="P13" s="14">
        <f>MAX(E:E)</f>
        <v>8789473.6842105258</v>
      </c>
    </row>
    <row r="14" spans="1:18" x14ac:dyDescent="0.25">
      <c r="A14" s="2">
        <v>2022</v>
      </c>
      <c r="B14" s="3">
        <v>476</v>
      </c>
      <c r="C14" s="3">
        <v>18.899999999999999</v>
      </c>
      <c r="D14">
        <v>30</v>
      </c>
      <c r="E14" s="4">
        <v>1052631.5789473683</v>
      </c>
      <c r="F14">
        <f t="shared" si="0"/>
        <v>2</v>
      </c>
      <c r="H14" s="28" t="s">
        <v>21</v>
      </c>
      <c r="I14" s="28" t="s">
        <v>20</v>
      </c>
      <c r="J14" s="28" t="s">
        <v>23</v>
      </c>
      <c r="K14" s="28" t="s">
        <v>24</v>
      </c>
      <c r="L14" s="28" t="s">
        <v>25</v>
      </c>
      <c r="M14" s="28" t="s">
        <v>27</v>
      </c>
      <c r="O14" s="7" t="s">
        <v>30</v>
      </c>
      <c r="P14" s="14">
        <f>MIN(E:E)</f>
        <v>510526.31578947365</v>
      </c>
    </row>
    <row r="15" spans="1:18" x14ac:dyDescent="0.25">
      <c r="A15" s="2">
        <v>1992</v>
      </c>
      <c r="B15" s="3">
        <v>488</v>
      </c>
      <c r="C15" s="3">
        <v>15.5</v>
      </c>
      <c r="D15">
        <v>35</v>
      </c>
      <c r="E15" s="4">
        <v>1226315.7894736843</v>
      </c>
      <c r="F15">
        <f t="shared" si="0"/>
        <v>2</v>
      </c>
      <c r="H15">
        <v>1</v>
      </c>
      <c r="I15" s="32" t="s">
        <v>15</v>
      </c>
      <c r="J15" s="4">
        <v>510526.31578947365</v>
      </c>
      <c r="K15" s="4">
        <v>2166315.789473684</v>
      </c>
      <c r="L15">
        <v>16</v>
      </c>
      <c r="M15" s="31">
        <v>0.48484848484848486</v>
      </c>
      <c r="O15" s="8"/>
      <c r="P15" s="14"/>
    </row>
    <row r="16" spans="1:18" x14ac:dyDescent="0.25">
      <c r="A16" s="2">
        <v>2000</v>
      </c>
      <c r="B16" s="3">
        <v>506</v>
      </c>
      <c r="C16" s="3">
        <v>17.2</v>
      </c>
      <c r="D16">
        <v>40</v>
      </c>
      <c r="E16" s="4">
        <v>2104545.4545454546</v>
      </c>
      <c r="F16">
        <f t="shared" si="0"/>
        <v>2</v>
      </c>
      <c r="H16">
        <v>2</v>
      </c>
      <c r="I16" s="15" t="s">
        <v>16</v>
      </c>
      <c r="J16" s="4">
        <v>2166315.789473684</v>
      </c>
      <c r="K16" s="4">
        <v>3822105.2631578948</v>
      </c>
      <c r="L16">
        <v>11</v>
      </c>
      <c r="M16" s="31">
        <v>0.33333333333333331</v>
      </c>
      <c r="O16" s="7" t="s">
        <v>31</v>
      </c>
      <c r="P16" s="14">
        <f>P13-P14</f>
        <v>8278947.3684210526</v>
      </c>
    </row>
    <row r="17" spans="1:18" x14ac:dyDescent="0.25">
      <c r="A17" s="2">
        <v>2021</v>
      </c>
      <c r="B17" s="3">
        <v>524</v>
      </c>
      <c r="C17" s="3">
        <v>17.899999999999999</v>
      </c>
      <c r="D17">
        <v>56</v>
      </c>
      <c r="E17" s="4">
        <v>2777777.777777778</v>
      </c>
      <c r="F17">
        <f t="shared" si="0"/>
        <v>2</v>
      </c>
      <c r="H17">
        <v>3</v>
      </c>
      <c r="I17" s="16" t="s">
        <v>17</v>
      </c>
      <c r="J17" s="4">
        <v>3822105.2631578948</v>
      </c>
      <c r="K17" s="4">
        <v>5477894.7368421052</v>
      </c>
      <c r="L17">
        <v>1</v>
      </c>
      <c r="M17" s="31">
        <v>3.0303030303030304E-2</v>
      </c>
      <c r="O17" s="7" t="s">
        <v>32</v>
      </c>
      <c r="P17" s="14">
        <v>5</v>
      </c>
    </row>
    <row r="18" spans="1:18" x14ac:dyDescent="0.25">
      <c r="A18" s="2">
        <v>2006</v>
      </c>
      <c r="B18" s="3">
        <v>525</v>
      </c>
      <c r="C18" s="3">
        <v>17.600000000000001</v>
      </c>
      <c r="D18">
        <v>40</v>
      </c>
      <c r="E18" s="4">
        <v>2140909.0909090908</v>
      </c>
      <c r="F18">
        <f t="shared" si="0"/>
        <v>2</v>
      </c>
      <c r="H18">
        <v>4</v>
      </c>
      <c r="I18" s="22" t="s">
        <v>18</v>
      </c>
      <c r="J18" s="4">
        <v>5477894.7368421052</v>
      </c>
      <c r="K18" s="4">
        <v>7133684.2105263155</v>
      </c>
      <c r="L18">
        <v>3</v>
      </c>
      <c r="M18" s="31">
        <v>9.0909090909090912E-2</v>
      </c>
      <c r="O18" s="7" t="s">
        <v>33</v>
      </c>
      <c r="P18" s="14">
        <f>P16/P17</f>
        <v>1655789.4736842106</v>
      </c>
    </row>
    <row r="19" spans="1:18" x14ac:dyDescent="0.25">
      <c r="A19" s="2">
        <v>2014</v>
      </c>
      <c r="B19" s="3">
        <v>525</v>
      </c>
      <c r="C19" s="3">
        <v>17.5</v>
      </c>
      <c r="D19">
        <v>34</v>
      </c>
      <c r="E19" s="4">
        <v>1218947.3684210526</v>
      </c>
      <c r="F19">
        <f t="shared" si="0"/>
        <v>2</v>
      </c>
      <c r="H19">
        <v>5</v>
      </c>
      <c r="I19" s="33" t="s">
        <v>19</v>
      </c>
      <c r="J19" s="4">
        <v>7133684.2105263155</v>
      </c>
      <c r="K19" s="4">
        <v>8789473.6842105258</v>
      </c>
      <c r="L19">
        <v>2</v>
      </c>
      <c r="M19" s="31">
        <v>6.0606060606060608E-2</v>
      </c>
    </row>
    <row r="20" spans="1:18" x14ac:dyDescent="0.25">
      <c r="A20" s="2">
        <v>2003</v>
      </c>
      <c r="B20" s="3">
        <v>537</v>
      </c>
      <c r="C20" s="3">
        <v>17.2</v>
      </c>
      <c r="D20">
        <v>62</v>
      </c>
      <c r="E20" s="4">
        <v>3577777.777777778</v>
      </c>
      <c r="F20">
        <f t="shared" si="0"/>
        <v>2</v>
      </c>
      <c r="H20" s="28" t="s">
        <v>34</v>
      </c>
      <c r="I20" s="28"/>
      <c r="J20" s="28"/>
      <c r="K20" s="28"/>
      <c r="L20" s="28">
        <v>33</v>
      </c>
      <c r="M20" s="34">
        <v>1</v>
      </c>
      <c r="O20" s="7" t="s">
        <v>50</v>
      </c>
      <c r="P20" s="14">
        <f>AVERAGE(E:E)</f>
        <v>2876615.9951139116</v>
      </c>
    </row>
    <row r="21" spans="1:18" x14ac:dyDescent="0.25">
      <c r="A21" s="2">
        <v>2008</v>
      </c>
      <c r="B21" s="3">
        <v>538</v>
      </c>
      <c r="C21" s="3">
        <v>16.899999999999999</v>
      </c>
      <c r="D21">
        <v>43</v>
      </c>
      <c r="E21" s="4">
        <v>2170000</v>
      </c>
      <c r="F21">
        <f t="shared" si="0"/>
        <v>2</v>
      </c>
      <c r="O21" s="7" t="s">
        <v>49</v>
      </c>
      <c r="P21" s="14">
        <f>MEDIAN(E:E)</f>
        <v>2170000</v>
      </c>
    </row>
    <row r="22" spans="1:18" x14ac:dyDescent="0.25">
      <c r="A22" s="2">
        <v>2016</v>
      </c>
      <c r="B22" s="3">
        <v>554</v>
      </c>
      <c r="C22" s="3">
        <v>17.8</v>
      </c>
      <c r="D22">
        <v>51</v>
      </c>
      <c r="E22" s="4">
        <v>2409523.8095238097</v>
      </c>
      <c r="F22">
        <f t="shared" si="0"/>
        <v>2</v>
      </c>
      <c r="H22" s="1"/>
      <c r="I22" s="1"/>
      <c r="R22" s="1" t="s">
        <v>68</v>
      </c>
    </row>
    <row r="23" spans="1:18" x14ac:dyDescent="0.25">
      <c r="A23" s="2">
        <v>2009</v>
      </c>
      <c r="B23" s="3">
        <v>561</v>
      </c>
      <c r="C23" s="3">
        <v>17.7</v>
      </c>
      <c r="D23">
        <v>42</v>
      </c>
      <c r="E23" s="4">
        <v>2155277.777777778</v>
      </c>
      <c r="F23">
        <f t="shared" si="0"/>
        <v>2</v>
      </c>
      <c r="H23" s="38"/>
      <c r="I23" s="31"/>
      <c r="O23" s="1"/>
      <c r="Q23" s="4"/>
    </row>
    <row r="24" spans="1:18" x14ac:dyDescent="0.25">
      <c r="A24" s="2">
        <v>2004</v>
      </c>
      <c r="B24" s="3">
        <v>565</v>
      </c>
      <c r="C24" s="3">
        <v>16.899999999999999</v>
      </c>
      <c r="D24">
        <v>48</v>
      </c>
      <c r="E24" s="4">
        <v>2476470.588235294</v>
      </c>
      <c r="F24">
        <f t="shared" si="0"/>
        <v>2</v>
      </c>
      <c r="G24" s="4">
        <f>AVERAGE(E9:E24)</f>
        <v>2128984.4760352308</v>
      </c>
      <c r="H24" s="1" t="s">
        <v>63</v>
      </c>
      <c r="O24" s="29" t="s">
        <v>29</v>
      </c>
      <c r="P24" s="9">
        <v>18.899999999999999</v>
      </c>
      <c r="Q24" s="28" t="s">
        <v>67</v>
      </c>
    </row>
    <row r="25" spans="1:18" x14ac:dyDescent="0.25">
      <c r="A25" s="2">
        <v>2024</v>
      </c>
      <c r="B25" s="3">
        <v>643</v>
      </c>
      <c r="C25" s="3">
        <v>18.8</v>
      </c>
      <c r="D25">
        <v>55</v>
      </c>
      <c r="E25" s="4">
        <v>7125000</v>
      </c>
      <c r="F25">
        <f t="shared" si="0"/>
        <v>3</v>
      </c>
      <c r="H25" s="28" t="s">
        <v>21</v>
      </c>
      <c r="I25" s="28" t="s">
        <v>20</v>
      </c>
      <c r="J25" s="28" t="s">
        <v>23</v>
      </c>
      <c r="K25" s="28" t="s">
        <v>24</v>
      </c>
      <c r="L25" s="28" t="s">
        <v>25</v>
      </c>
      <c r="M25" s="28" t="s">
        <v>27</v>
      </c>
      <c r="O25" s="29" t="s">
        <v>30</v>
      </c>
      <c r="P25" s="9">
        <v>15.5</v>
      </c>
      <c r="Q25" s="4">
        <v>3465808.9668615982</v>
      </c>
    </row>
    <row r="26" spans="1:18" x14ac:dyDescent="0.25">
      <c r="A26" s="2">
        <v>1996</v>
      </c>
      <c r="B26" s="3">
        <v>679</v>
      </c>
      <c r="C26" s="3">
        <v>16.2</v>
      </c>
      <c r="D26">
        <v>79</v>
      </c>
      <c r="E26" s="4">
        <v>6360000</v>
      </c>
      <c r="F26">
        <f t="shared" si="0"/>
        <v>3</v>
      </c>
      <c r="H26">
        <v>1</v>
      </c>
      <c r="I26" s="15" t="s">
        <v>55</v>
      </c>
      <c r="J26">
        <v>15.5</v>
      </c>
      <c r="K26">
        <v>16.350000000000001</v>
      </c>
      <c r="L26">
        <v>3</v>
      </c>
      <c r="M26" s="45">
        <f>L26/$L$30</f>
        <v>9.0909090909090912E-2</v>
      </c>
      <c r="Q26" s="4">
        <v>2625178.1149461376</v>
      </c>
    </row>
    <row r="27" spans="1:18" x14ac:dyDescent="0.25">
      <c r="A27" s="2">
        <v>2001</v>
      </c>
      <c r="B27" s="3">
        <v>693</v>
      </c>
      <c r="C27" s="3">
        <v>17.399999999999999</v>
      </c>
      <c r="D27">
        <v>63</v>
      </c>
      <c r="E27" s="4">
        <v>8789473.6842105258</v>
      </c>
      <c r="F27">
        <f t="shared" si="0"/>
        <v>3</v>
      </c>
      <c r="H27">
        <v>2</v>
      </c>
      <c r="I27" s="40" t="s">
        <v>50</v>
      </c>
      <c r="J27">
        <v>16.350000000000001</v>
      </c>
      <c r="K27">
        <v>17.200000000000003</v>
      </c>
      <c r="L27">
        <v>14</v>
      </c>
      <c r="M27" s="45">
        <f>L27/$L$30</f>
        <v>0.42424242424242425</v>
      </c>
      <c r="O27" s="29" t="s">
        <v>31</v>
      </c>
      <c r="P27" s="9">
        <v>3.3999999999999986</v>
      </c>
      <c r="Q27" s="49">
        <v>2686104.8264600895</v>
      </c>
    </row>
    <row r="28" spans="1:18" x14ac:dyDescent="0.25">
      <c r="A28" s="2">
        <v>2020</v>
      </c>
      <c r="B28" s="3">
        <v>700</v>
      </c>
      <c r="C28" s="3">
        <v>18.399999999999999</v>
      </c>
      <c r="D28">
        <v>86</v>
      </c>
      <c r="E28" s="4">
        <v>6842105.2631578948</v>
      </c>
      <c r="F28">
        <f t="shared" si="0"/>
        <v>3</v>
      </c>
      <c r="H28">
        <v>3</v>
      </c>
      <c r="I28" s="41" t="s">
        <v>56</v>
      </c>
      <c r="J28">
        <v>17.200000000000003</v>
      </c>
      <c r="K28">
        <v>18.050000000000004</v>
      </c>
      <c r="L28">
        <v>10</v>
      </c>
      <c r="M28" s="45">
        <f>L28/$L$30</f>
        <v>0.30303030303030304</v>
      </c>
      <c r="O28" s="29" t="s">
        <v>32</v>
      </c>
      <c r="P28" s="9">
        <v>4</v>
      </c>
      <c r="Q28" s="4">
        <v>3486226.5107212476</v>
      </c>
    </row>
    <row r="29" spans="1:18" x14ac:dyDescent="0.25">
      <c r="A29" s="2">
        <v>1998</v>
      </c>
      <c r="B29" s="3">
        <v>732</v>
      </c>
      <c r="C29" s="3">
        <v>17</v>
      </c>
      <c r="D29">
        <v>59</v>
      </c>
      <c r="E29" s="4">
        <v>2242105.2631578948</v>
      </c>
      <c r="F29">
        <f t="shared" si="0"/>
        <v>3</v>
      </c>
      <c r="H29">
        <v>4</v>
      </c>
      <c r="I29" s="42" t="s">
        <v>57</v>
      </c>
      <c r="J29">
        <v>18.050000000000004</v>
      </c>
      <c r="K29">
        <v>18.900000000000006</v>
      </c>
      <c r="L29">
        <v>6</v>
      </c>
      <c r="M29" s="45">
        <f>L29/$L$30</f>
        <v>0.18181818181818182</v>
      </c>
      <c r="O29" s="29" t="s">
        <v>33</v>
      </c>
      <c r="P29" s="9">
        <v>0.84999999999999964</v>
      </c>
    </row>
    <row r="30" spans="1:18" x14ac:dyDescent="0.25">
      <c r="A30" s="2">
        <v>2011</v>
      </c>
      <c r="B30" s="3">
        <v>747</v>
      </c>
      <c r="C30" s="3">
        <v>17.8</v>
      </c>
      <c r="D30">
        <v>60</v>
      </c>
      <c r="E30" s="4">
        <v>3563157.8947368423</v>
      </c>
      <c r="F30">
        <f t="shared" si="0"/>
        <v>3</v>
      </c>
      <c r="H30" s="28" t="s">
        <v>60</v>
      </c>
      <c r="I30" s="28"/>
      <c r="J30" s="28"/>
      <c r="K30" s="28"/>
      <c r="L30" s="28">
        <v>33</v>
      </c>
      <c r="M30" s="34">
        <v>1</v>
      </c>
    </row>
    <row r="31" spans="1:18" x14ac:dyDescent="0.25">
      <c r="A31" s="2">
        <v>2018</v>
      </c>
      <c r="B31" s="3">
        <v>787</v>
      </c>
      <c r="C31" s="3">
        <v>16.8</v>
      </c>
      <c r="D31">
        <v>47</v>
      </c>
      <c r="E31" s="4">
        <v>2395105.2631578948</v>
      </c>
      <c r="F31">
        <f t="shared" si="0"/>
        <v>3</v>
      </c>
      <c r="O31" s="29" t="s">
        <v>50</v>
      </c>
      <c r="P31" s="44">
        <v>17.366666666666664</v>
      </c>
    </row>
    <row r="32" spans="1:18" x14ac:dyDescent="0.25">
      <c r="A32" s="2">
        <v>1997</v>
      </c>
      <c r="B32" s="3">
        <v>797</v>
      </c>
      <c r="C32" s="3">
        <v>17.3</v>
      </c>
      <c r="D32">
        <v>38</v>
      </c>
      <c r="E32" s="4">
        <v>1500000</v>
      </c>
      <c r="F32">
        <f>_xlfn.IFS(B32&lt;=$K$3,1,B32&lt;=$K$4,2,B32&lt;=$K$5,3,B32&lt;=$K$6,4)</f>
        <v>3</v>
      </c>
      <c r="G32" s="4">
        <f>AVERAGE(E25:E32)</f>
        <v>4852118.4210526319</v>
      </c>
      <c r="O32" s="29" t="s">
        <v>49</v>
      </c>
      <c r="P32" s="9">
        <v>17.2</v>
      </c>
    </row>
    <row r="33" spans="1:13" x14ac:dyDescent="0.25">
      <c r="A33" s="2">
        <v>2010</v>
      </c>
      <c r="B33" s="3">
        <v>988</v>
      </c>
      <c r="C33" s="3">
        <v>17</v>
      </c>
      <c r="D33">
        <v>81</v>
      </c>
      <c r="E33" s="4">
        <v>7588235.2941176463</v>
      </c>
      <c r="F33">
        <f t="shared" si="0"/>
        <v>4</v>
      </c>
      <c r="G33" s="4"/>
      <c r="M33" s="31"/>
    </row>
    <row r="34" spans="1:13" x14ac:dyDescent="0.25">
      <c r="A34" s="2">
        <v>2013</v>
      </c>
      <c r="B34" s="3">
        <v>1073</v>
      </c>
      <c r="C34" s="3">
        <v>16.5</v>
      </c>
      <c r="D34">
        <v>69</v>
      </c>
      <c r="E34" s="4">
        <v>5013333.333333334</v>
      </c>
      <c r="F34">
        <f t="shared" si="0"/>
        <v>4</v>
      </c>
      <c r="G34" s="4">
        <f>AVERAGE(E33:E34)</f>
        <v>6300784.3137254901</v>
      </c>
    </row>
    <row r="35" spans="1:13" x14ac:dyDescent="0.25">
      <c r="E35" s="36"/>
    </row>
    <row r="38" spans="1:13" x14ac:dyDescent="0.25">
      <c r="H38" t="s">
        <v>54</v>
      </c>
    </row>
  </sheetData>
  <sortState xmlns:xlrd2="http://schemas.microsoft.com/office/spreadsheetml/2017/richdata2" ref="A2:E34">
    <sortCondition ref="B2:B3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C4FC-ADD8-47DD-99F8-F385B7423F16}">
  <dimension ref="A1:B34"/>
  <sheetViews>
    <sheetView topLeftCell="A19" workbookViewId="0">
      <selection activeCell="G26" sqref="G26"/>
    </sheetView>
  </sheetViews>
  <sheetFormatPr baseColWidth="10" defaultRowHeight="15" x14ac:dyDescent="0.25"/>
  <cols>
    <col min="1" max="1" width="13.5703125" bestFit="1" customWidth="1"/>
  </cols>
  <sheetData>
    <row r="1" spans="1:2" x14ac:dyDescent="0.25">
      <c r="A1" s="1" t="s">
        <v>0</v>
      </c>
      <c r="B1" s="1" t="s">
        <v>12</v>
      </c>
    </row>
    <row r="2" spans="1:2" x14ac:dyDescent="0.25">
      <c r="A2" s="2">
        <v>1992</v>
      </c>
      <c r="B2" s="3">
        <v>488</v>
      </c>
    </row>
    <row r="3" spans="1:2" x14ac:dyDescent="0.25">
      <c r="A3" s="2">
        <v>1993</v>
      </c>
      <c r="B3" s="3">
        <v>306</v>
      </c>
    </row>
    <row r="4" spans="1:2" x14ac:dyDescent="0.25">
      <c r="A4" s="2">
        <v>1994</v>
      </c>
      <c r="B4" s="3">
        <v>169</v>
      </c>
    </row>
    <row r="5" spans="1:2" x14ac:dyDescent="0.25">
      <c r="A5" s="2">
        <v>1995</v>
      </c>
      <c r="B5" s="3">
        <v>244</v>
      </c>
    </row>
    <row r="6" spans="1:2" x14ac:dyDescent="0.25">
      <c r="A6" s="2">
        <v>1996</v>
      </c>
      <c r="B6" s="3">
        <v>679</v>
      </c>
    </row>
    <row r="7" spans="1:2" x14ac:dyDescent="0.25">
      <c r="A7" s="2">
        <v>1997</v>
      </c>
      <c r="B7" s="3">
        <v>797</v>
      </c>
    </row>
    <row r="8" spans="1:2" x14ac:dyDescent="0.25">
      <c r="A8" s="2">
        <v>1998</v>
      </c>
      <c r="B8" s="3">
        <v>732</v>
      </c>
    </row>
    <row r="9" spans="1:2" x14ac:dyDescent="0.25">
      <c r="A9" s="2">
        <v>1999</v>
      </c>
      <c r="B9" s="3">
        <v>273</v>
      </c>
    </row>
    <row r="10" spans="1:2" x14ac:dyDescent="0.25">
      <c r="A10" s="2">
        <v>2000</v>
      </c>
      <c r="B10" s="3">
        <v>506</v>
      </c>
    </row>
    <row r="11" spans="1:2" x14ac:dyDescent="0.25">
      <c r="A11" s="2">
        <v>2001</v>
      </c>
      <c r="B11" s="3">
        <v>693</v>
      </c>
    </row>
    <row r="12" spans="1:2" x14ac:dyDescent="0.25">
      <c r="A12" s="2">
        <v>2002</v>
      </c>
      <c r="B12" s="3">
        <v>468</v>
      </c>
    </row>
    <row r="13" spans="1:2" x14ac:dyDescent="0.25">
      <c r="A13" s="2">
        <v>2003</v>
      </c>
      <c r="B13" s="3">
        <v>537</v>
      </c>
    </row>
    <row r="14" spans="1:2" x14ac:dyDescent="0.25">
      <c r="A14" s="2">
        <v>2004</v>
      </c>
      <c r="B14" s="3">
        <v>565</v>
      </c>
    </row>
    <row r="15" spans="1:2" x14ac:dyDescent="0.25">
      <c r="A15" s="2">
        <v>2005</v>
      </c>
      <c r="B15" s="3">
        <v>245</v>
      </c>
    </row>
    <row r="16" spans="1:2" x14ac:dyDescent="0.25">
      <c r="A16" s="2">
        <v>2006</v>
      </c>
      <c r="B16" s="3">
        <v>525</v>
      </c>
    </row>
    <row r="17" spans="1:2" x14ac:dyDescent="0.25">
      <c r="A17" s="2">
        <v>2007</v>
      </c>
      <c r="B17" s="3">
        <v>412</v>
      </c>
    </row>
    <row r="18" spans="1:2" x14ac:dyDescent="0.25">
      <c r="A18" s="2">
        <v>2008</v>
      </c>
      <c r="B18" s="3">
        <v>538</v>
      </c>
    </row>
    <row r="19" spans="1:2" x14ac:dyDescent="0.25">
      <c r="A19" s="2">
        <v>2009</v>
      </c>
      <c r="B19" s="3">
        <v>561</v>
      </c>
    </row>
    <row r="20" spans="1:2" x14ac:dyDescent="0.25">
      <c r="A20" s="2">
        <v>2010</v>
      </c>
      <c r="B20" s="3">
        <v>988</v>
      </c>
    </row>
    <row r="21" spans="1:2" x14ac:dyDescent="0.25">
      <c r="A21" s="2">
        <v>2011</v>
      </c>
      <c r="B21" s="3">
        <v>747</v>
      </c>
    </row>
    <row r="22" spans="1:2" x14ac:dyDescent="0.25">
      <c r="A22" s="2">
        <v>2012</v>
      </c>
      <c r="B22" s="3">
        <v>266</v>
      </c>
    </row>
    <row r="23" spans="1:2" x14ac:dyDescent="0.25">
      <c r="A23" s="2">
        <v>2013</v>
      </c>
      <c r="B23" s="3">
        <v>1073</v>
      </c>
    </row>
    <row r="24" spans="1:2" x14ac:dyDescent="0.25">
      <c r="A24" s="2">
        <v>2014</v>
      </c>
      <c r="B24" s="3">
        <v>525</v>
      </c>
    </row>
    <row r="25" spans="1:2" x14ac:dyDescent="0.25">
      <c r="A25" s="2">
        <v>2015</v>
      </c>
      <c r="B25" s="3">
        <v>434</v>
      </c>
    </row>
    <row r="26" spans="1:2" x14ac:dyDescent="0.25">
      <c r="A26" s="2">
        <v>2016</v>
      </c>
      <c r="B26" s="3">
        <v>554</v>
      </c>
    </row>
    <row r="27" spans="1:2" x14ac:dyDescent="0.25">
      <c r="A27" s="2">
        <v>2017</v>
      </c>
      <c r="B27" s="3">
        <v>461</v>
      </c>
    </row>
    <row r="28" spans="1:2" x14ac:dyDescent="0.25">
      <c r="A28" s="2">
        <v>2018</v>
      </c>
      <c r="B28" s="3">
        <v>787</v>
      </c>
    </row>
    <row r="29" spans="1:2" x14ac:dyDescent="0.25">
      <c r="A29" s="2">
        <v>2019</v>
      </c>
      <c r="B29" s="3">
        <v>392</v>
      </c>
    </row>
    <row r="30" spans="1:2" x14ac:dyDescent="0.25">
      <c r="A30" s="2">
        <v>2020</v>
      </c>
      <c r="B30" s="3">
        <v>700</v>
      </c>
    </row>
    <row r="31" spans="1:2" x14ac:dyDescent="0.25">
      <c r="A31" s="2">
        <v>2021</v>
      </c>
      <c r="B31" s="3">
        <v>524</v>
      </c>
    </row>
    <row r="32" spans="1:2" x14ac:dyDescent="0.25">
      <c r="A32" s="2">
        <v>2022</v>
      </c>
      <c r="B32" s="3">
        <v>476</v>
      </c>
    </row>
    <row r="33" spans="1:2" x14ac:dyDescent="0.25">
      <c r="A33" s="2">
        <v>2023</v>
      </c>
      <c r="B33" s="3">
        <v>413</v>
      </c>
    </row>
    <row r="34" spans="1:2" x14ac:dyDescent="0.25">
      <c r="A34" s="2">
        <v>2024</v>
      </c>
      <c r="B34" s="3">
        <v>643</v>
      </c>
    </row>
  </sheetData>
  <sortState xmlns:xlrd2="http://schemas.microsoft.com/office/spreadsheetml/2017/richdata2" ref="A2:B34">
    <sortCondition ref="A2:A3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97F0-DDB6-4AAA-9C33-F0A38ED2C158}">
  <dimension ref="A1:AE38"/>
  <sheetViews>
    <sheetView workbookViewId="0">
      <selection sqref="A1:F34"/>
    </sheetView>
  </sheetViews>
  <sheetFormatPr baseColWidth="10" defaultRowHeight="15" x14ac:dyDescent="0.25"/>
  <cols>
    <col min="1" max="1" width="13.5703125" bestFit="1" customWidth="1"/>
    <col min="2" max="2" width="20.7109375" bestFit="1" customWidth="1"/>
    <col min="3" max="3" width="19.140625" bestFit="1" customWidth="1"/>
    <col min="4" max="4" width="13.42578125" style="4" bestFit="1" customWidth="1"/>
    <col min="6" max="6" width="21.140625" customWidth="1"/>
    <col min="7" max="8" width="6.28515625" customWidth="1"/>
    <col min="9" max="9" width="16.140625" bestFit="1" customWidth="1"/>
    <col min="10" max="10" width="11.85546875" bestFit="1" customWidth="1"/>
    <col min="12" max="12" width="11.85546875" bestFit="1" customWidth="1"/>
  </cols>
  <sheetData>
    <row r="1" spans="1:31" x14ac:dyDescent="0.25">
      <c r="A1" s="1" t="s">
        <v>0</v>
      </c>
      <c r="B1" s="1" t="s">
        <v>12</v>
      </c>
      <c r="C1" s="1" t="s">
        <v>1</v>
      </c>
      <c r="D1" s="12" t="s">
        <v>3</v>
      </c>
      <c r="E1" s="1" t="s">
        <v>35</v>
      </c>
      <c r="F1" s="1"/>
      <c r="G1" s="1"/>
      <c r="H1" s="1"/>
    </row>
    <row r="2" spans="1:31" x14ac:dyDescent="0.25">
      <c r="A2" s="2">
        <v>1995</v>
      </c>
      <c r="B2" s="3">
        <v>244</v>
      </c>
      <c r="C2" s="3">
        <v>17.8</v>
      </c>
      <c r="D2" s="4">
        <v>510526.31578947365</v>
      </c>
      <c r="E2">
        <f t="shared" ref="E2:E34" si="0">_xlfn.IFS(D2&lt;=$L$4,1,D2&lt;=$L$5,2,D2&lt;=$L$6,3,D2&lt;=$L$7,4,D2&lt;=$L$8,5)</f>
        <v>1</v>
      </c>
      <c r="F2" t="str">
        <f>_xlfn.IFS(D2&lt;=$L$4,"Muy Baja",D2&lt;=$L$5,"Baja",D2&lt;=$L$6,"Media",D2&lt;=$L$7,"Alta",D2&lt;=$L$8,"Muy Alta")</f>
        <v>Muy Baja</v>
      </c>
      <c r="I2" s="1" t="s">
        <v>48</v>
      </c>
    </row>
    <row r="3" spans="1:31" x14ac:dyDescent="0.25">
      <c r="A3" s="2">
        <v>1994</v>
      </c>
      <c r="B3" s="3">
        <v>169</v>
      </c>
      <c r="C3" s="3">
        <v>17</v>
      </c>
      <c r="D3" s="4">
        <v>776190.47619047621</v>
      </c>
      <c r="E3">
        <f t="shared" si="0"/>
        <v>1</v>
      </c>
      <c r="F3" t="str">
        <f t="shared" ref="F3:F34" si="1">_xlfn.IFS(D3&lt;=$L$4,"Muy Baja",D3&lt;=$L$5,"Baja",D3&lt;=$L$6,"Media",D3&lt;=$L$7,"Alta",D3&lt;=$L$8,"Muy Alta")</f>
        <v>Muy Baja</v>
      </c>
      <c r="I3" s="7" t="s">
        <v>21</v>
      </c>
      <c r="J3" s="7" t="s">
        <v>20</v>
      </c>
      <c r="K3" s="7" t="s">
        <v>23</v>
      </c>
      <c r="L3" s="7" t="s">
        <v>24</v>
      </c>
      <c r="M3" s="7" t="s">
        <v>25</v>
      </c>
      <c r="N3" s="7" t="s">
        <v>27</v>
      </c>
      <c r="O3" s="7" t="s">
        <v>26</v>
      </c>
      <c r="P3" s="1"/>
      <c r="Q3" s="7" t="s">
        <v>29</v>
      </c>
      <c r="R3" s="14">
        <f>MAX(D:D)</f>
        <v>8789473.6842105258</v>
      </c>
    </row>
    <row r="4" spans="1:31" x14ac:dyDescent="0.25">
      <c r="A4" s="2">
        <v>2012</v>
      </c>
      <c r="B4" s="3">
        <v>266</v>
      </c>
      <c r="C4" s="3">
        <v>17.2</v>
      </c>
      <c r="D4" s="4">
        <v>777777.77777777775</v>
      </c>
      <c r="E4">
        <f t="shared" si="0"/>
        <v>1</v>
      </c>
      <c r="F4" t="str">
        <f t="shared" si="1"/>
        <v>Muy Baja</v>
      </c>
      <c r="I4">
        <v>1</v>
      </c>
      <c r="J4" s="20" t="s">
        <v>15</v>
      </c>
      <c r="K4" s="4">
        <f>R4</f>
        <v>510526.31578947365</v>
      </c>
      <c r="L4" s="4">
        <f>K4+$R$8</f>
        <v>2166315.789473684</v>
      </c>
      <c r="M4">
        <f>COUNTIF(E:E,I4)</f>
        <v>16</v>
      </c>
      <c r="N4" s="6">
        <f>M4/$M$9</f>
        <v>0.48484848484848486</v>
      </c>
      <c r="O4">
        <f>M4</f>
        <v>16</v>
      </c>
      <c r="Q4" s="7" t="s">
        <v>30</v>
      </c>
      <c r="R4" s="14">
        <f>MIN(D:D)</f>
        <v>510526.31578947365</v>
      </c>
    </row>
    <row r="5" spans="1:31" x14ac:dyDescent="0.25">
      <c r="A5" s="2">
        <v>2022</v>
      </c>
      <c r="B5" s="3">
        <v>476</v>
      </c>
      <c r="C5" s="3">
        <v>18.899999999999999</v>
      </c>
      <c r="D5" s="4">
        <v>1052631.5789473683</v>
      </c>
      <c r="E5">
        <f t="shared" si="0"/>
        <v>1</v>
      </c>
      <c r="F5" t="str">
        <f t="shared" si="1"/>
        <v>Muy Baja</v>
      </c>
      <c r="I5">
        <v>2</v>
      </c>
      <c r="J5" s="15" t="s">
        <v>16</v>
      </c>
      <c r="K5" s="4">
        <f>L4</f>
        <v>2166315.789473684</v>
      </c>
      <c r="L5" s="4">
        <f>K5+$R$8</f>
        <v>3822105.2631578948</v>
      </c>
      <c r="M5">
        <f>COUNTIF(E:E,I5)</f>
        <v>11</v>
      </c>
      <c r="N5" s="6">
        <f>M5/$M$9</f>
        <v>0.33333333333333331</v>
      </c>
      <c r="O5">
        <f>O4+M5</f>
        <v>27</v>
      </c>
      <c r="Q5" s="8"/>
      <c r="R5" s="14"/>
    </row>
    <row r="6" spans="1:31" x14ac:dyDescent="0.25">
      <c r="A6" s="2">
        <v>2023</v>
      </c>
      <c r="B6" s="3">
        <v>413</v>
      </c>
      <c r="C6" s="3">
        <v>18.5</v>
      </c>
      <c r="D6" s="4">
        <v>1194444.4444444445</v>
      </c>
      <c r="E6">
        <f t="shared" si="0"/>
        <v>1</v>
      </c>
      <c r="F6" t="str">
        <f t="shared" si="1"/>
        <v>Muy Baja</v>
      </c>
      <c r="I6">
        <v>3</v>
      </c>
      <c r="J6" s="16" t="s">
        <v>17</v>
      </c>
      <c r="K6" s="4">
        <f>L5</f>
        <v>3822105.2631578948</v>
      </c>
      <c r="L6" s="4">
        <f>K6+$R$8</f>
        <v>5477894.7368421052</v>
      </c>
      <c r="M6">
        <f>COUNTIF(E:E,I6)</f>
        <v>1</v>
      </c>
      <c r="N6" s="6">
        <f>M6/$M$9</f>
        <v>3.0303030303030304E-2</v>
      </c>
      <c r="O6">
        <f>O5+M6</f>
        <v>28</v>
      </c>
      <c r="Q6" s="7" t="s">
        <v>31</v>
      </c>
      <c r="R6" s="14">
        <f>R3-R4</f>
        <v>8278947.3684210526</v>
      </c>
      <c r="AB6" s="47"/>
      <c r="AE6" s="47"/>
    </row>
    <row r="7" spans="1:31" x14ac:dyDescent="0.25">
      <c r="A7" s="2">
        <v>2014</v>
      </c>
      <c r="B7" s="3">
        <v>525</v>
      </c>
      <c r="C7" s="3">
        <v>17.5</v>
      </c>
      <c r="D7" s="4">
        <v>1218947.3684210526</v>
      </c>
      <c r="E7">
        <f t="shared" si="0"/>
        <v>1</v>
      </c>
      <c r="F7" t="str">
        <f t="shared" si="1"/>
        <v>Muy Baja</v>
      </c>
      <c r="I7">
        <v>4</v>
      </c>
      <c r="J7" s="17" t="s">
        <v>18</v>
      </c>
      <c r="K7" s="4">
        <f>L6</f>
        <v>5477894.7368421052</v>
      </c>
      <c r="L7" s="4">
        <f>K7+$R$8</f>
        <v>7133684.2105263155</v>
      </c>
      <c r="M7">
        <f>COUNTIF(E:E,I7)</f>
        <v>3</v>
      </c>
      <c r="N7" s="6">
        <f>M7/$M$9</f>
        <v>9.0909090909090912E-2</v>
      </c>
      <c r="O7">
        <f>O6+M7</f>
        <v>31</v>
      </c>
      <c r="Q7" s="7" t="s">
        <v>32</v>
      </c>
      <c r="R7" s="14">
        <v>5</v>
      </c>
    </row>
    <row r="8" spans="1:31" x14ac:dyDescent="0.25">
      <c r="A8" s="2">
        <v>1992</v>
      </c>
      <c r="B8" s="3">
        <v>488</v>
      </c>
      <c r="C8" s="3">
        <v>15.5</v>
      </c>
      <c r="D8" s="4">
        <v>1226315.7894736843</v>
      </c>
      <c r="E8">
        <f t="shared" si="0"/>
        <v>1</v>
      </c>
      <c r="F8" t="str">
        <f t="shared" si="1"/>
        <v>Muy Baja</v>
      </c>
      <c r="I8">
        <v>5</v>
      </c>
      <c r="J8" s="18" t="s">
        <v>19</v>
      </c>
      <c r="K8" s="4">
        <f>L7</f>
        <v>7133684.2105263155</v>
      </c>
      <c r="L8" s="4">
        <f>K8+$R$8</f>
        <v>8789473.6842105258</v>
      </c>
      <c r="M8">
        <f>COUNTIF(E:E,I8)</f>
        <v>2</v>
      </c>
      <c r="N8" s="6">
        <f>M8/$M$9</f>
        <v>6.0606060606060608E-2</v>
      </c>
      <c r="O8" s="1">
        <f>O7+M8</f>
        <v>33</v>
      </c>
      <c r="P8" s="1"/>
      <c r="Q8" s="7" t="s">
        <v>33</v>
      </c>
      <c r="R8" s="14">
        <f>R6/R7</f>
        <v>1655789.4736842106</v>
      </c>
    </row>
    <row r="9" spans="1:31" x14ac:dyDescent="0.25">
      <c r="A9" s="2">
        <v>1999</v>
      </c>
      <c r="B9" s="3">
        <v>273</v>
      </c>
      <c r="C9" s="3">
        <v>16.8</v>
      </c>
      <c r="D9" s="4">
        <v>1375000</v>
      </c>
      <c r="E9">
        <f t="shared" si="0"/>
        <v>1</v>
      </c>
      <c r="F9" t="str">
        <f t="shared" si="1"/>
        <v>Muy Baja</v>
      </c>
      <c r="I9" s="7" t="s">
        <v>34</v>
      </c>
      <c r="J9" s="8"/>
      <c r="K9" s="8"/>
      <c r="L9" s="8"/>
      <c r="M9" s="7">
        <f>SUM(M4:M8)</f>
        <v>33</v>
      </c>
      <c r="N9" s="19">
        <f>SUM(N4:N8)</f>
        <v>1</v>
      </c>
      <c r="O9" s="8"/>
    </row>
    <row r="10" spans="1:31" x14ac:dyDescent="0.25">
      <c r="A10" s="2">
        <v>2005</v>
      </c>
      <c r="B10" s="3">
        <v>245</v>
      </c>
      <c r="C10" s="3">
        <v>17.100000000000001</v>
      </c>
      <c r="D10" s="4">
        <v>1400000</v>
      </c>
      <c r="E10">
        <f t="shared" si="0"/>
        <v>1</v>
      </c>
      <c r="F10" t="str">
        <f t="shared" si="1"/>
        <v>Muy Baja</v>
      </c>
      <c r="Q10" s="7" t="s">
        <v>50</v>
      </c>
      <c r="R10" s="14">
        <f>AVERAGE(D:D)</f>
        <v>2876615.9951139125</v>
      </c>
      <c r="Z10" s="47"/>
      <c r="AC10" s="47"/>
    </row>
    <row r="11" spans="1:31" x14ac:dyDescent="0.25">
      <c r="A11" s="2">
        <v>1997</v>
      </c>
      <c r="B11" s="3">
        <v>797</v>
      </c>
      <c r="C11" s="3">
        <v>17.3</v>
      </c>
      <c r="D11" s="4">
        <v>1500000</v>
      </c>
      <c r="E11">
        <f t="shared" si="0"/>
        <v>1</v>
      </c>
      <c r="F11" t="str">
        <f t="shared" si="1"/>
        <v>Muy Baja</v>
      </c>
      <c r="I11" t="s">
        <v>36</v>
      </c>
      <c r="J11" s="9" t="str">
        <f>IF(M9=COUNT(E:E),"OK","ERROR")</f>
        <v>OK</v>
      </c>
      <c r="Q11" s="7" t="s">
        <v>49</v>
      </c>
      <c r="R11" s="14">
        <f>MEDIAN(D:D)</f>
        <v>2170000</v>
      </c>
    </row>
    <row r="12" spans="1:31" x14ac:dyDescent="0.25">
      <c r="A12" s="2">
        <v>2002</v>
      </c>
      <c r="B12" s="3">
        <v>468</v>
      </c>
      <c r="C12" s="3">
        <v>17.100000000000001</v>
      </c>
      <c r="D12" s="4">
        <v>1780952.3809523811</v>
      </c>
      <c r="E12">
        <f t="shared" si="0"/>
        <v>1</v>
      </c>
      <c r="F12" t="str">
        <f t="shared" si="1"/>
        <v>Muy Baja</v>
      </c>
    </row>
    <row r="13" spans="1:31" x14ac:dyDescent="0.25">
      <c r="A13" s="2">
        <v>2019</v>
      </c>
      <c r="B13" s="3">
        <v>392</v>
      </c>
      <c r="C13" s="3">
        <v>17.899999999999999</v>
      </c>
      <c r="D13" s="4">
        <v>1795454.5454545454</v>
      </c>
      <c r="E13">
        <f t="shared" si="0"/>
        <v>1</v>
      </c>
      <c r="F13" t="str">
        <f t="shared" si="1"/>
        <v>Muy Baja</v>
      </c>
      <c r="I13" s="1" t="s">
        <v>65</v>
      </c>
      <c r="R13" s="1"/>
      <c r="T13" s="4"/>
    </row>
    <row r="14" spans="1:31" x14ac:dyDescent="0.25">
      <c r="A14" s="2">
        <v>2017</v>
      </c>
      <c r="B14" s="3">
        <v>461</v>
      </c>
      <c r="C14" s="3">
        <v>18.7</v>
      </c>
      <c r="D14" s="4">
        <v>2008733.3333333333</v>
      </c>
      <c r="E14">
        <f t="shared" si="0"/>
        <v>1</v>
      </c>
      <c r="F14" t="str">
        <f t="shared" si="1"/>
        <v>Muy Baja</v>
      </c>
      <c r="X14" s="47"/>
      <c r="AA14" s="47"/>
    </row>
    <row r="15" spans="1:31" x14ac:dyDescent="0.25">
      <c r="A15" s="2">
        <v>2000</v>
      </c>
      <c r="B15" s="3">
        <v>506</v>
      </c>
      <c r="C15" s="3">
        <v>17.2</v>
      </c>
      <c r="D15" s="4">
        <v>2104545.4545454546</v>
      </c>
      <c r="E15">
        <f t="shared" si="0"/>
        <v>1</v>
      </c>
      <c r="F15" t="str">
        <f t="shared" si="1"/>
        <v>Muy Baja</v>
      </c>
    </row>
    <row r="16" spans="1:31" x14ac:dyDescent="0.25">
      <c r="A16" s="2">
        <v>2006</v>
      </c>
      <c r="B16" s="3">
        <v>525</v>
      </c>
      <c r="C16" s="3">
        <v>17.600000000000001</v>
      </c>
      <c r="D16" s="4">
        <v>2140909.0909090908</v>
      </c>
      <c r="E16">
        <f t="shared" si="0"/>
        <v>1</v>
      </c>
      <c r="F16" t="str">
        <f t="shared" si="1"/>
        <v>Muy Baja</v>
      </c>
    </row>
    <row r="17" spans="1:25" x14ac:dyDescent="0.25">
      <c r="A17" s="2">
        <v>2009</v>
      </c>
      <c r="B17" s="3">
        <v>561</v>
      </c>
      <c r="C17" s="3">
        <v>17.7</v>
      </c>
      <c r="D17" s="4">
        <v>2155277.777777778</v>
      </c>
      <c r="E17">
        <f t="shared" si="0"/>
        <v>1</v>
      </c>
      <c r="F17" t="str">
        <f t="shared" si="1"/>
        <v>Muy Baja</v>
      </c>
    </row>
    <row r="18" spans="1:25" x14ac:dyDescent="0.25">
      <c r="A18" s="2">
        <v>2008</v>
      </c>
      <c r="B18" s="3">
        <v>538</v>
      </c>
      <c r="C18" s="3">
        <v>16.899999999999999</v>
      </c>
      <c r="D18" s="4">
        <v>2170000</v>
      </c>
      <c r="E18">
        <f t="shared" si="0"/>
        <v>2</v>
      </c>
      <c r="F18" t="str">
        <f t="shared" si="1"/>
        <v>Baja</v>
      </c>
      <c r="V18" s="47"/>
      <c r="Y18" s="47"/>
    </row>
    <row r="19" spans="1:25" x14ac:dyDescent="0.25">
      <c r="A19" s="2">
        <v>1998</v>
      </c>
      <c r="B19" s="3">
        <v>732</v>
      </c>
      <c r="C19" s="3">
        <v>17</v>
      </c>
      <c r="D19" s="4">
        <v>2242105.2631578948</v>
      </c>
      <c r="E19">
        <f t="shared" si="0"/>
        <v>2</v>
      </c>
      <c r="F19" t="str">
        <f t="shared" si="1"/>
        <v>Baja</v>
      </c>
    </row>
    <row r="20" spans="1:25" x14ac:dyDescent="0.25">
      <c r="A20" s="2">
        <v>2018</v>
      </c>
      <c r="B20" s="3">
        <v>787</v>
      </c>
      <c r="C20" s="3">
        <v>16.8</v>
      </c>
      <c r="D20" s="4">
        <v>2395105.2631578948</v>
      </c>
      <c r="E20">
        <f t="shared" si="0"/>
        <v>2</v>
      </c>
      <c r="F20" t="str">
        <f t="shared" si="1"/>
        <v>Baja</v>
      </c>
    </row>
    <row r="21" spans="1:25" x14ac:dyDescent="0.25">
      <c r="A21" s="2">
        <v>2016</v>
      </c>
      <c r="B21" s="3">
        <v>554</v>
      </c>
      <c r="C21" s="3">
        <v>17.8</v>
      </c>
      <c r="D21" s="4">
        <v>2409523.8095238097</v>
      </c>
      <c r="E21">
        <f t="shared" si="0"/>
        <v>2</v>
      </c>
      <c r="F21" t="str">
        <f t="shared" si="1"/>
        <v>Baja</v>
      </c>
    </row>
    <row r="22" spans="1:25" x14ac:dyDescent="0.25">
      <c r="A22" s="2">
        <v>2004</v>
      </c>
      <c r="B22" s="3">
        <v>565</v>
      </c>
      <c r="C22" s="3">
        <v>16.899999999999999</v>
      </c>
      <c r="D22" s="4">
        <v>2476470.588235294</v>
      </c>
      <c r="E22">
        <f t="shared" si="0"/>
        <v>2</v>
      </c>
      <c r="F22" t="str">
        <f t="shared" si="1"/>
        <v>Baja</v>
      </c>
      <c r="T22" s="47"/>
      <c r="W22" s="47"/>
    </row>
    <row r="23" spans="1:25" x14ac:dyDescent="0.25">
      <c r="A23" s="2">
        <v>2015</v>
      </c>
      <c r="B23" s="3">
        <v>434</v>
      </c>
      <c r="C23" s="3">
        <v>18.2</v>
      </c>
      <c r="D23" s="4">
        <v>2694444.4444444445</v>
      </c>
      <c r="E23">
        <f t="shared" si="0"/>
        <v>2</v>
      </c>
      <c r="F23" t="str">
        <f t="shared" si="1"/>
        <v>Baja</v>
      </c>
    </row>
    <row r="24" spans="1:25" x14ac:dyDescent="0.25">
      <c r="A24" s="2">
        <v>2021</v>
      </c>
      <c r="B24" s="3">
        <v>524</v>
      </c>
      <c r="C24" s="3">
        <v>17.899999999999999</v>
      </c>
      <c r="D24" s="4">
        <v>2777777.777777778</v>
      </c>
      <c r="E24">
        <f t="shared" si="0"/>
        <v>2</v>
      </c>
      <c r="F24" t="str">
        <f t="shared" si="1"/>
        <v>Baja</v>
      </c>
    </row>
    <row r="25" spans="1:25" x14ac:dyDescent="0.25">
      <c r="A25" s="2">
        <v>1993</v>
      </c>
      <c r="B25" s="3">
        <v>306</v>
      </c>
      <c r="C25" s="3">
        <v>15.7</v>
      </c>
      <c r="D25" s="4">
        <v>2811111.111111111</v>
      </c>
      <c r="E25">
        <f t="shared" si="0"/>
        <v>2</v>
      </c>
      <c r="F25" t="str">
        <f t="shared" si="1"/>
        <v>Baja</v>
      </c>
    </row>
    <row r="26" spans="1:25" x14ac:dyDescent="0.25">
      <c r="A26" s="2">
        <v>2007</v>
      </c>
      <c r="B26" s="3">
        <v>412</v>
      </c>
      <c r="C26" s="3">
        <v>16.8</v>
      </c>
      <c r="D26" s="4">
        <v>3075000</v>
      </c>
      <c r="E26">
        <f t="shared" si="0"/>
        <v>2</v>
      </c>
      <c r="F26" t="str">
        <f t="shared" si="1"/>
        <v>Baja</v>
      </c>
    </row>
    <row r="27" spans="1:25" x14ac:dyDescent="0.25">
      <c r="A27" s="2">
        <v>2011</v>
      </c>
      <c r="B27" s="3">
        <v>747</v>
      </c>
      <c r="C27" s="3">
        <v>17.8</v>
      </c>
      <c r="D27" s="4">
        <v>3563157.8947368423</v>
      </c>
      <c r="E27">
        <f t="shared" si="0"/>
        <v>2</v>
      </c>
      <c r="F27" t="str">
        <f t="shared" si="1"/>
        <v>Baja</v>
      </c>
    </row>
    <row r="28" spans="1:25" x14ac:dyDescent="0.25">
      <c r="A28" s="2">
        <v>2003</v>
      </c>
      <c r="B28" s="3">
        <v>537</v>
      </c>
      <c r="C28" s="3">
        <v>17.2</v>
      </c>
      <c r="D28" s="4">
        <v>3577777.777777778</v>
      </c>
      <c r="E28">
        <f t="shared" si="0"/>
        <v>2</v>
      </c>
      <c r="F28" t="str">
        <f t="shared" si="1"/>
        <v>Baja</v>
      </c>
    </row>
    <row r="29" spans="1:25" x14ac:dyDescent="0.25">
      <c r="A29" s="2">
        <v>2013</v>
      </c>
      <c r="B29" s="3">
        <v>1073</v>
      </c>
      <c r="C29" s="3">
        <v>16.5</v>
      </c>
      <c r="D29" s="4">
        <v>5013333.333333334</v>
      </c>
      <c r="E29">
        <f t="shared" si="0"/>
        <v>3</v>
      </c>
      <c r="F29" t="str">
        <f t="shared" si="1"/>
        <v>Media</v>
      </c>
      <c r="I29" s="1" t="s">
        <v>66</v>
      </c>
    </row>
    <row r="30" spans="1:25" x14ac:dyDescent="0.25">
      <c r="A30" s="2">
        <v>1996</v>
      </c>
      <c r="B30" s="3">
        <v>679</v>
      </c>
      <c r="C30" s="3">
        <v>16.2</v>
      </c>
      <c r="D30" s="4">
        <v>6360000</v>
      </c>
      <c r="E30">
        <f t="shared" si="0"/>
        <v>4</v>
      </c>
      <c r="F30" t="str">
        <f t="shared" si="1"/>
        <v>Alta</v>
      </c>
      <c r="I30" s="10" t="s">
        <v>47</v>
      </c>
      <c r="J30" s="10"/>
      <c r="K30" s="10"/>
      <c r="L30" s="13"/>
      <c r="M30" s="10"/>
      <c r="N30" s="10"/>
      <c r="O30" s="10"/>
      <c r="P30" s="10"/>
    </row>
    <row r="31" spans="1:25" x14ac:dyDescent="0.25">
      <c r="A31" s="2">
        <v>2020</v>
      </c>
      <c r="B31" s="3">
        <v>700</v>
      </c>
      <c r="C31" s="3">
        <v>18.399999999999999</v>
      </c>
      <c r="D31" s="4">
        <v>6842105.2631578948</v>
      </c>
      <c r="E31">
        <f t="shared" si="0"/>
        <v>4</v>
      </c>
      <c r="F31" t="str">
        <f t="shared" si="1"/>
        <v>Alta</v>
      </c>
      <c r="I31" s="10" t="s">
        <v>28</v>
      </c>
      <c r="J31" s="10"/>
      <c r="K31" s="10"/>
      <c r="L31" s="13"/>
      <c r="M31" s="10"/>
      <c r="N31" s="10"/>
      <c r="O31" s="10"/>
      <c r="P31" s="10"/>
    </row>
    <row r="32" spans="1:25" x14ac:dyDescent="0.25">
      <c r="A32" s="2">
        <v>2024</v>
      </c>
      <c r="B32" s="3">
        <v>643</v>
      </c>
      <c r="C32" s="3">
        <v>18.8</v>
      </c>
      <c r="D32" s="4">
        <v>7125000</v>
      </c>
      <c r="E32">
        <f t="shared" si="0"/>
        <v>4</v>
      </c>
      <c r="F32" t="str">
        <f t="shared" si="1"/>
        <v>Alta</v>
      </c>
      <c r="I32" s="11" t="s">
        <v>44</v>
      </c>
      <c r="J32" s="11" t="s">
        <v>31</v>
      </c>
      <c r="K32" s="10"/>
      <c r="L32" s="13"/>
      <c r="M32" s="10"/>
      <c r="N32" s="10"/>
      <c r="O32" s="10"/>
      <c r="P32" s="10"/>
    </row>
    <row r="33" spans="1:16" x14ac:dyDescent="0.25">
      <c r="A33" s="2">
        <v>2010</v>
      </c>
      <c r="B33" s="3">
        <v>988</v>
      </c>
      <c r="C33" s="3">
        <v>17</v>
      </c>
      <c r="D33" s="4">
        <v>7588235.2941176463</v>
      </c>
      <c r="E33">
        <f t="shared" si="0"/>
        <v>5</v>
      </c>
      <c r="F33" t="str">
        <f t="shared" si="1"/>
        <v>Muy Alta</v>
      </c>
      <c r="I33" s="11" t="s">
        <v>45</v>
      </c>
      <c r="J33" s="11" t="s">
        <v>33</v>
      </c>
      <c r="K33" s="10"/>
      <c r="L33" s="13"/>
      <c r="M33" s="10"/>
      <c r="N33" s="10"/>
      <c r="O33" s="10"/>
      <c r="P33" s="10"/>
    </row>
    <row r="34" spans="1:16" x14ac:dyDescent="0.25">
      <c r="A34" s="2">
        <v>2001</v>
      </c>
      <c r="B34" s="3">
        <v>693</v>
      </c>
      <c r="C34" s="3">
        <v>17.399999999999999</v>
      </c>
      <c r="D34" s="4">
        <v>8789473.6842105258</v>
      </c>
      <c r="E34">
        <f t="shared" si="0"/>
        <v>5</v>
      </c>
      <c r="F34" t="str">
        <f t="shared" si="1"/>
        <v>Muy Alta</v>
      </c>
      <c r="I34" s="10" t="s">
        <v>42</v>
      </c>
      <c r="J34" s="10"/>
      <c r="K34" s="10"/>
      <c r="L34" s="13"/>
      <c r="M34" s="10"/>
      <c r="N34" s="10"/>
      <c r="O34" s="10"/>
      <c r="P34" s="10"/>
    </row>
    <row r="35" spans="1:16" x14ac:dyDescent="0.25">
      <c r="A35" s="1"/>
      <c r="D35" s="12"/>
      <c r="I35" s="10" t="s">
        <v>43</v>
      </c>
      <c r="J35" s="10"/>
      <c r="K35" s="10"/>
      <c r="L35" s="13"/>
      <c r="M35" s="10"/>
      <c r="N35" s="10"/>
      <c r="O35" s="10"/>
      <c r="P35" s="10"/>
    </row>
    <row r="36" spans="1:16" x14ac:dyDescent="0.25">
      <c r="I36" s="10" t="s">
        <v>46</v>
      </c>
      <c r="J36" s="10"/>
      <c r="K36" s="10"/>
      <c r="L36" s="13"/>
      <c r="M36" s="10"/>
      <c r="N36" s="10"/>
      <c r="O36" s="10"/>
      <c r="P36" s="10"/>
    </row>
    <row r="38" spans="1:16" x14ac:dyDescent="0.25">
      <c r="I38" s="1" t="s">
        <v>70</v>
      </c>
    </row>
  </sheetData>
  <sortState xmlns:xlrd2="http://schemas.microsoft.com/office/spreadsheetml/2017/richdata2" ref="A2:D34">
    <sortCondition ref="D2:D34"/>
  </sortState>
  <conditionalFormatting sqref="D2">
    <cfRule type="expression" dxfId="1" priority="1">
      <formula>"M2:M34"</formula>
    </cfRule>
    <cfRule type="expression" dxfId="0" priority="2">
      <formula>"D2:D34"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06FC-3855-461E-941D-1E379AF6464A}">
  <dimension ref="A1:K34"/>
  <sheetViews>
    <sheetView workbookViewId="0">
      <selection activeCell="C2" sqref="C2:C34"/>
    </sheetView>
  </sheetViews>
  <sheetFormatPr baseColWidth="10" defaultRowHeight="15" x14ac:dyDescent="0.25"/>
  <cols>
    <col min="1" max="1" width="13.5703125" bestFit="1" customWidth="1"/>
    <col min="2" max="2" width="13.42578125" bestFit="1" customWidth="1"/>
    <col min="5" max="5" width="16.85546875" customWidth="1"/>
  </cols>
  <sheetData>
    <row r="1" spans="1:11" x14ac:dyDescent="0.25">
      <c r="A1" t="s">
        <v>0</v>
      </c>
      <c r="B1" s="4" t="s">
        <v>3</v>
      </c>
      <c r="C1" t="s">
        <v>35</v>
      </c>
    </row>
    <row r="2" spans="1:11" x14ac:dyDescent="0.25">
      <c r="A2">
        <v>1992</v>
      </c>
      <c r="B2" s="4">
        <v>1226315.7894736843</v>
      </c>
      <c r="C2" t="s">
        <v>15</v>
      </c>
      <c r="E2" s="1" t="s">
        <v>48</v>
      </c>
      <c r="F2" s="1"/>
      <c r="G2" s="1"/>
      <c r="H2" s="1"/>
      <c r="I2" s="1"/>
      <c r="J2" s="1"/>
    </row>
    <row r="3" spans="1:11" x14ac:dyDescent="0.25">
      <c r="A3">
        <v>1993</v>
      </c>
      <c r="B3" s="4">
        <v>2811111.111111111</v>
      </c>
      <c r="C3" t="s">
        <v>16</v>
      </c>
      <c r="E3" s="29" t="s">
        <v>21</v>
      </c>
      <c r="F3" s="29" t="s">
        <v>20</v>
      </c>
      <c r="G3" s="29" t="s">
        <v>23</v>
      </c>
      <c r="H3" s="29" t="s">
        <v>24</v>
      </c>
      <c r="I3" s="29" t="s">
        <v>25</v>
      </c>
      <c r="J3" s="29" t="s">
        <v>27</v>
      </c>
      <c r="K3" s="29" t="s">
        <v>26</v>
      </c>
    </row>
    <row r="4" spans="1:11" x14ac:dyDescent="0.25">
      <c r="A4">
        <v>1994</v>
      </c>
      <c r="B4" s="4">
        <v>776190.47619047621</v>
      </c>
      <c r="C4" t="s">
        <v>15</v>
      </c>
      <c r="E4">
        <v>1</v>
      </c>
      <c r="F4" s="32" t="s">
        <v>15</v>
      </c>
      <c r="G4" s="50">
        <v>510526.31578947365</v>
      </c>
      <c r="H4" s="4">
        <v>2166315.789473684</v>
      </c>
      <c r="I4">
        <v>16</v>
      </c>
      <c r="J4" s="31">
        <v>0.48484848484848486</v>
      </c>
      <c r="K4">
        <v>16</v>
      </c>
    </row>
    <row r="5" spans="1:11" x14ac:dyDescent="0.25">
      <c r="A5">
        <v>1995</v>
      </c>
      <c r="B5" s="4">
        <v>510526.31578947365</v>
      </c>
      <c r="C5" t="s">
        <v>15</v>
      </c>
      <c r="E5">
        <v>2</v>
      </c>
      <c r="F5" s="15" t="s">
        <v>16</v>
      </c>
      <c r="G5" s="50">
        <v>2166315.789473684</v>
      </c>
      <c r="H5" s="4">
        <v>3822105.2631578948</v>
      </c>
      <c r="I5">
        <v>11</v>
      </c>
      <c r="J5" s="31">
        <v>0.33333333333333331</v>
      </c>
      <c r="K5">
        <v>27</v>
      </c>
    </row>
    <row r="6" spans="1:11" x14ac:dyDescent="0.25">
      <c r="A6">
        <v>1996</v>
      </c>
      <c r="B6" s="4">
        <v>6360000</v>
      </c>
      <c r="C6" t="s">
        <v>18</v>
      </c>
      <c r="E6">
        <v>3</v>
      </c>
      <c r="F6" s="16" t="s">
        <v>17</v>
      </c>
      <c r="G6" s="50">
        <v>3822105.2631578948</v>
      </c>
      <c r="H6" s="4">
        <v>5477894.7368421052</v>
      </c>
      <c r="I6">
        <v>1</v>
      </c>
      <c r="J6" s="31">
        <v>3.0303030303030304E-2</v>
      </c>
      <c r="K6">
        <v>28</v>
      </c>
    </row>
    <row r="7" spans="1:11" x14ac:dyDescent="0.25">
      <c r="A7">
        <v>1997</v>
      </c>
      <c r="B7" s="4">
        <v>1500000</v>
      </c>
      <c r="C7" t="s">
        <v>15</v>
      </c>
      <c r="E7">
        <v>4</v>
      </c>
      <c r="F7" s="22" t="s">
        <v>18</v>
      </c>
      <c r="G7" s="50">
        <v>5477894.7368421052</v>
      </c>
      <c r="H7" s="4">
        <v>7133684.2105263155</v>
      </c>
      <c r="I7">
        <v>3</v>
      </c>
      <c r="J7" s="31">
        <v>9.0909090909090912E-2</v>
      </c>
      <c r="K7">
        <v>31</v>
      </c>
    </row>
    <row r="8" spans="1:11" x14ac:dyDescent="0.25">
      <c r="A8">
        <v>1998</v>
      </c>
      <c r="B8" s="4">
        <v>2242105.2631578948</v>
      </c>
      <c r="C8" t="s">
        <v>16</v>
      </c>
      <c r="E8">
        <v>5</v>
      </c>
      <c r="F8" s="33" t="s">
        <v>19</v>
      </c>
      <c r="G8" s="50">
        <v>7133684.2105263155</v>
      </c>
      <c r="H8" s="4">
        <v>8789473.6842105258</v>
      </c>
      <c r="I8">
        <v>2</v>
      </c>
      <c r="J8" s="31">
        <v>6.0606060606060608E-2</v>
      </c>
      <c r="K8">
        <v>33</v>
      </c>
    </row>
    <row r="9" spans="1:11" x14ac:dyDescent="0.25">
      <c r="A9">
        <v>1999</v>
      </c>
      <c r="B9" s="4">
        <v>1375000</v>
      </c>
      <c r="C9" t="s">
        <v>15</v>
      </c>
      <c r="E9" s="29" t="s">
        <v>34</v>
      </c>
      <c r="F9" s="29"/>
      <c r="G9" s="29"/>
      <c r="H9" s="29"/>
      <c r="I9" s="29">
        <v>33</v>
      </c>
      <c r="J9" s="43">
        <v>1</v>
      </c>
      <c r="K9" s="29"/>
    </row>
    <row r="10" spans="1:11" x14ac:dyDescent="0.25">
      <c r="A10">
        <v>2000</v>
      </c>
      <c r="B10" s="4">
        <v>2104545.4545454546</v>
      </c>
      <c r="C10" t="s">
        <v>15</v>
      </c>
    </row>
    <row r="11" spans="1:11" x14ac:dyDescent="0.25">
      <c r="A11">
        <v>2001</v>
      </c>
      <c r="B11" s="4">
        <v>8789473.6842105258</v>
      </c>
      <c r="C11" t="s">
        <v>19</v>
      </c>
    </row>
    <row r="12" spans="1:11" x14ac:dyDescent="0.25">
      <c r="A12">
        <v>2002</v>
      </c>
      <c r="B12" s="4">
        <v>1780952.3809523811</v>
      </c>
      <c r="C12" t="s">
        <v>15</v>
      </c>
    </row>
    <row r="13" spans="1:11" x14ac:dyDescent="0.25">
      <c r="A13">
        <v>2003</v>
      </c>
      <c r="B13" s="4">
        <v>3577777.777777778</v>
      </c>
      <c r="C13" t="s">
        <v>16</v>
      </c>
    </row>
    <row r="14" spans="1:11" x14ac:dyDescent="0.25">
      <c r="A14">
        <v>2004</v>
      </c>
      <c r="B14" s="4">
        <v>2476470.588235294</v>
      </c>
      <c r="C14" t="s">
        <v>16</v>
      </c>
    </row>
    <row r="15" spans="1:11" x14ac:dyDescent="0.25">
      <c r="A15">
        <v>2005</v>
      </c>
      <c r="B15" s="4">
        <v>1400000</v>
      </c>
      <c r="C15" t="s">
        <v>15</v>
      </c>
    </row>
    <row r="16" spans="1:11" x14ac:dyDescent="0.25">
      <c r="A16">
        <v>2006</v>
      </c>
      <c r="B16" s="4">
        <v>2140909.0909090908</v>
      </c>
      <c r="C16" t="s">
        <v>15</v>
      </c>
    </row>
    <row r="17" spans="1:3" x14ac:dyDescent="0.25">
      <c r="A17">
        <v>2007</v>
      </c>
      <c r="B17" s="4">
        <v>3075000</v>
      </c>
      <c r="C17" t="s">
        <v>16</v>
      </c>
    </row>
    <row r="18" spans="1:3" x14ac:dyDescent="0.25">
      <c r="A18">
        <v>2008</v>
      </c>
      <c r="B18" s="4">
        <v>2170000</v>
      </c>
      <c r="C18" t="s">
        <v>16</v>
      </c>
    </row>
    <row r="19" spans="1:3" x14ac:dyDescent="0.25">
      <c r="A19">
        <v>2009</v>
      </c>
      <c r="B19" s="4">
        <v>2155277.777777778</v>
      </c>
      <c r="C19" t="s">
        <v>15</v>
      </c>
    </row>
    <row r="20" spans="1:3" x14ac:dyDescent="0.25">
      <c r="A20">
        <v>2010</v>
      </c>
      <c r="B20" s="4">
        <v>7588235.2941176463</v>
      </c>
      <c r="C20" t="s">
        <v>19</v>
      </c>
    </row>
    <row r="21" spans="1:3" x14ac:dyDescent="0.25">
      <c r="A21">
        <v>2011</v>
      </c>
      <c r="B21" s="4">
        <v>3563157.8947368423</v>
      </c>
      <c r="C21" t="s">
        <v>16</v>
      </c>
    </row>
    <row r="22" spans="1:3" x14ac:dyDescent="0.25">
      <c r="A22">
        <v>2012</v>
      </c>
      <c r="B22" s="4">
        <v>777777.77777777775</v>
      </c>
      <c r="C22" t="s">
        <v>15</v>
      </c>
    </row>
    <row r="23" spans="1:3" x14ac:dyDescent="0.25">
      <c r="A23">
        <v>2013</v>
      </c>
      <c r="B23" s="4">
        <v>5013333.333333334</v>
      </c>
      <c r="C23" t="s">
        <v>17</v>
      </c>
    </row>
    <row r="24" spans="1:3" x14ac:dyDescent="0.25">
      <c r="A24">
        <v>2014</v>
      </c>
      <c r="B24" s="4">
        <v>1218947.3684210526</v>
      </c>
      <c r="C24" t="s">
        <v>15</v>
      </c>
    </row>
    <row r="25" spans="1:3" x14ac:dyDescent="0.25">
      <c r="A25">
        <v>2015</v>
      </c>
      <c r="B25" s="4">
        <v>2694444.4444444445</v>
      </c>
      <c r="C25" t="s">
        <v>16</v>
      </c>
    </row>
    <row r="26" spans="1:3" x14ac:dyDescent="0.25">
      <c r="A26">
        <v>2016</v>
      </c>
      <c r="B26" s="4">
        <v>2409523.8095238097</v>
      </c>
      <c r="C26" t="s">
        <v>16</v>
      </c>
    </row>
    <row r="27" spans="1:3" x14ac:dyDescent="0.25">
      <c r="A27">
        <v>2017</v>
      </c>
      <c r="B27" s="4">
        <v>2008733.3333333333</v>
      </c>
      <c r="C27" t="s">
        <v>15</v>
      </c>
    </row>
    <row r="28" spans="1:3" x14ac:dyDescent="0.25">
      <c r="A28">
        <v>2018</v>
      </c>
      <c r="B28" s="4">
        <v>2395105.2631578948</v>
      </c>
      <c r="C28" t="s">
        <v>16</v>
      </c>
    </row>
    <row r="29" spans="1:3" x14ac:dyDescent="0.25">
      <c r="A29">
        <v>2019</v>
      </c>
      <c r="B29" s="4">
        <v>1795454.5454545454</v>
      </c>
      <c r="C29" t="s">
        <v>15</v>
      </c>
    </row>
    <row r="30" spans="1:3" x14ac:dyDescent="0.25">
      <c r="A30">
        <v>2020</v>
      </c>
      <c r="B30" s="4">
        <v>6842105.2631578948</v>
      </c>
      <c r="C30" t="s">
        <v>18</v>
      </c>
    </row>
    <row r="31" spans="1:3" x14ac:dyDescent="0.25">
      <c r="A31">
        <v>2021</v>
      </c>
      <c r="B31" s="4">
        <v>2777777.777777778</v>
      </c>
      <c r="C31" t="s">
        <v>16</v>
      </c>
    </row>
    <row r="32" spans="1:3" x14ac:dyDescent="0.25">
      <c r="A32">
        <v>2022</v>
      </c>
      <c r="B32" s="4">
        <v>1052631.5789473683</v>
      </c>
      <c r="C32" t="s">
        <v>15</v>
      </c>
    </row>
    <row r="33" spans="1:3" x14ac:dyDescent="0.25">
      <c r="A33">
        <v>2023</v>
      </c>
      <c r="B33" s="4">
        <v>1194444.4444444445</v>
      </c>
      <c r="C33" t="s">
        <v>15</v>
      </c>
    </row>
    <row r="34" spans="1:3" x14ac:dyDescent="0.25">
      <c r="A34">
        <v>2024</v>
      </c>
      <c r="B34" s="4">
        <v>7125000</v>
      </c>
      <c r="C34" t="s">
        <v>18</v>
      </c>
    </row>
  </sheetData>
  <sortState xmlns:xlrd2="http://schemas.microsoft.com/office/spreadsheetml/2017/richdata2" ref="A2:C34">
    <sortCondition ref="A2:A34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3F5B-A739-4A43-9375-EFD38CA163D1}">
  <dimension ref="A1:Q34"/>
  <sheetViews>
    <sheetView topLeftCell="F1" workbookViewId="0">
      <selection activeCell="H21" sqref="H21"/>
    </sheetView>
  </sheetViews>
  <sheetFormatPr baseColWidth="10" defaultRowHeight="15" x14ac:dyDescent="0.25"/>
  <cols>
    <col min="1" max="1" width="13.5703125" bestFit="1" customWidth="1"/>
    <col min="2" max="2" width="20.7109375" bestFit="1" customWidth="1"/>
    <col min="3" max="3" width="19.140625" bestFit="1" customWidth="1"/>
    <col min="4" max="4" width="23.140625" bestFit="1" customWidth="1"/>
    <col min="5" max="6" width="13.42578125" bestFit="1" customWidth="1"/>
    <col min="8" max="8" width="15.28515625" customWidth="1"/>
    <col min="13" max="13" width="11.28515625" customWidth="1"/>
  </cols>
  <sheetData>
    <row r="1" spans="1:17" x14ac:dyDescent="0.25">
      <c r="A1" s="39" t="s">
        <v>0</v>
      </c>
      <c r="B1" s="1" t="s">
        <v>12</v>
      </c>
      <c r="C1" s="39" t="s">
        <v>1</v>
      </c>
      <c r="D1" s="1" t="s">
        <v>2</v>
      </c>
      <c r="E1" s="1" t="s">
        <v>3</v>
      </c>
      <c r="F1" s="1" t="s">
        <v>58</v>
      </c>
    </row>
    <row r="2" spans="1:17" x14ac:dyDescent="0.25">
      <c r="A2" s="2">
        <v>1992</v>
      </c>
      <c r="B2" s="3">
        <v>488</v>
      </c>
      <c r="C2" s="3">
        <v>15.5</v>
      </c>
      <c r="D2">
        <v>35</v>
      </c>
      <c r="E2" s="4">
        <v>1226315.7894736843</v>
      </c>
      <c r="F2">
        <f>_xlfn.IFS(C2&lt;=$K$5,1,C2&lt;=$K$6,2,C2&lt;=$K$7,3,C2&lt;=$K$8,4)</f>
        <v>1</v>
      </c>
      <c r="H2" s="1"/>
    </row>
    <row r="3" spans="1:17" x14ac:dyDescent="0.25">
      <c r="A3" s="2">
        <v>1993</v>
      </c>
      <c r="B3" s="3">
        <v>306</v>
      </c>
      <c r="C3" s="3">
        <v>15.7</v>
      </c>
      <c r="D3">
        <v>57</v>
      </c>
      <c r="E3" s="4">
        <v>2811111.111111111</v>
      </c>
      <c r="F3">
        <f t="shared" ref="F3:F34" si="0">_xlfn.IFS(C3&lt;=$K$5,1,C3&lt;=$K$6,2,C3&lt;=$K$7,3,C3&lt;=$K$8,4)</f>
        <v>1</v>
      </c>
      <c r="H3" s="1" t="s">
        <v>61</v>
      </c>
      <c r="O3" s="1"/>
      <c r="P3" s="7" t="s">
        <v>29</v>
      </c>
      <c r="Q3" s="9">
        <f>MAX(C:C)</f>
        <v>18.899999999999999</v>
      </c>
    </row>
    <row r="4" spans="1:17" x14ac:dyDescent="0.25">
      <c r="A4" s="2">
        <v>1996</v>
      </c>
      <c r="B4" s="3">
        <v>679</v>
      </c>
      <c r="C4" s="3">
        <v>16.2</v>
      </c>
      <c r="D4">
        <v>79</v>
      </c>
      <c r="E4" s="4">
        <v>6360000</v>
      </c>
      <c r="F4">
        <f t="shared" si="0"/>
        <v>1</v>
      </c>
      <c r="G4" s="4">
        <f>AVERAGE(E2:E4)</f>
        <v>3465808.9668615982</v>
      </c>
      <c r="H4" s="28" t="s">
        <v>21</v>
      </c>
      <c r="I4" s="28" t="s">
        <v>20</v>
      </c>
      <c r="J4" s="28" t="s">
        <v>23</v>
      </c>
      <c r="K4" s="28" t="s">
        <v>24</v>
      </c>
      <c r="L4" s="28" t="s">
        <v>25</v>
      </c>
      <c r="M4" s="28" t="s">
        <v>27</v>
      </c>
      <c r="N4" s="28" t="s">
        <v>64</v>
      </c>
      <c r="P4" s="7" t="s">
        <v>30</v>
      </c>
      <c r="Q4" s="9">
        <f>MIN(C:C)</f>
        <v>15.5</v>
      </c>
    </row>
    <row r="5" spans="1:17" x14ac:dyDescent="0.25">
      <c r="A5" s="2">
        <v>2013</v>
      </c>
      <c r="B5" s="3">
        <v>1073</v>
      </c>
      <c r="C5" s="3">
        <v>16.5</v>
      </c>
      <c r="D5">
        <v>69</v>
      </c>
      <c r="E5" s="4">
        <v>5013333.333333334</v>
      </c>
      <c r="F5">
        <f t="shared" si="0"/>
        <v>2</v>
      </c>
      <c r="H5">
        <v>1</v>
      </c>
      <c r="I5" s="22" t="s">
        <v>55</v>
      </c>
      <c r="J5">
        <f>Q4</f>
        <v>15.5</v>
      </c>
      <c r="K5">
        <f>J5+$Q$8</f>
        <v>16.350000000000001</v>
      </c>
      <c r="L5">
        <f>COUNTIF(F:F,H5)</f>
        <v>3</v>
      </c>
      <c r="M5" s="37">
        <f>L5/$L$9</f>
        <v>9.0909090909090912E-2</v>
      </c>
      <c r="N5" s="4">
        <f>AVERAGEIFS($E$2:$E$34,$C$2:$C$34,"&gt;="&amp;J5,$C$2:$C$34,"&lt;="&amp;K5)</f>
        <v>3465808.9668615982</v>
      </c>
      <c r="P5" s="8"/>
      <c r="Q5" s="9"/>
    </row>
    <row r="6" spans="1:17" x14ac:dyDescent="0.25">
      <c r="A6" s="2">
        <v>1999</v>
      </c>
      <c r="B6" s="3">
        <v>273</v>
      </c>
      <c r="C6" s="3">
        <v>16.8</v>
      </c>
      <c r="D6">
        <v>35</v>
      </c>
      <c r="E6" s="4">
        <v>1375000</v>
      </c>
      <c r="F6">
        <f t="shared" si="0"/>
        <v>2</v>
      </c>
      <c r="H6">
        <v>2</v>
      </c>
      <c r="I6" s="40" t="s">
        <v>50</v>
      </c>
      <c r="J6">
        <f>K5</f>
        <v>16.350000000000001</v>
      </c>
      <c r="K6">
        <f t="shared" ref="K6:K8" si="1">J6+$Q$8</f>
        <v>17.200000000000003</v>
      </c>
      <c r="L6">
        <f t="shared" ref="L6:L8" si="2">COUNTIF(F:F,H6)</f>
        <v>14</v>
      </c>
      <c r="M6" s="37">
        <f t="shared" ref="M6:M8" si="3">L6/$L$9</f>
        <v>0.42424242424242425</v>
      </c>
      <c r="N6" s="49">
        <f>AVERAGEIFS($E$2:$E$34,$C$2:$C$34,"&gt;"&amp;J6,$C$2:$C$34,"&lt;="&amp;K6)</f>
        <v>2625178.1149461376</v>
      </c>
      <c r="P6" s="7" t="s">
        <v>31</v>
      </c>
      <c r="Q6" s="9">
        <f>Q3-Q4</f>
        <v>3.3999999999999986</v>
      </c>
    </row>
    <row r="7" spans="1:17" x14ac:dyDescent="0.25">
      <c r="A7" s="2">
        <v>2007</v>
      </c>
      <c r="B7" s="3">
        <v>412</v>
      </c>
      <c r="C7" s="3">
        <v>16.8</v>
      </c>
      <c r="D7">
        <v>58</v>
      </c>
      <c r="E7" s="4">
        <v>3075000</v>
      </c>
      <c r="F7">
        <f t="shared" si="0"/>
        <v>2</v>
      </c>
      <c r="H7">
        <v>3</v>
      </c>
      <c r="I7" s="41" t="s">
        <v>56</v>
      </c>
      <c r="J7">
        <f t="shared" ref="J7:J8" si="4">K6</f>
        <v>17.200000000000003</v>
      </c>
      <c r="K7">
        <f t="shared" si="1"/>
        <v>18.050000000000004</v>
      </c>
      <c r="L7">
        <f t="shared" si="2"/>
        <v>10</v>
      </c>
      <c r="M7" s="37">
        <f t="shared" si="3"/>
        <v>0.30303030303030304</v>
      </c>
      <c r="N7" s="49">
        <f>AVERAGEIFS($E$2:$E$34,$C$2:$C$34,"&gt;"&amp;J7,$C$2:$C$34,"&lt;="&amp;K7)</f>
        <v>2686104.8264600895</v>
      </c>
      <c r="P7" s="7" t="s">
        <v>32</v>
      </c>
      <c r="Q7" s="9">
        <v>4</v>
      </c>
    </row>
    <row r="8" spans="1:17" x14ac:dyDescent="0.25">
      <c r="A8" s="2">
        <v>2018</v>
      </c>
      <c r="B8" s="3">
        <v>787</v>
      </c>
      <c r="C8" s="3">
        <v>16.8</v>
      </c>
      <c r="D8">
        <v>47</v>
      </c>
      <c r="E8" s="4">
        <v>2395105.2631578948</v>
      </c>
      <c r="F8">
        <f t="shared" si="0"/>
        <v>2</v>
      </c>
      <c r="H8">
        <v>4</v>
      </c>
      <c r="I8" s="42" t="s">
        <v>57</v>
      </c>
      <c r="J8">
        <f t="shared" si="4"/>
        <v>18.050000000000004</v>
      </c>
      <c r="K8">
        <f t="shared" si="1"/>
        <v>18.900000000000006</v>
      </c>
      <c r="L8">
        <f t="shared" si="2"/>
        <v>6</v>
      </c>
      <c r="M8" s="37">
        <f t="shared" si="3"/>
        <v>0.18181818181818182</v>
      </c>
      <c r="N8" s="49">
        <f>AVERAGEIFS($E$2:$E$34,$C$2:$C$34,"&gt;"&amp;J8,$C$2:$C$34,"&lt;="&amp;K8)</f>
        <v>3486226.5107212476</v>
      </c>
      <c r="P8" s="7" t="s">
        <v>33</v>
      </c>
      <c r="Q8" s="9">
        <f>Q6/Q7</f>
        <v>0.84999999999999964</v>
      </c>
    </row>
    <row r="9" spans="1:17" x14ac:dyDescent="0.25">
      <c r="A9" s="2">
        <v>2004</v>
      </c>
      <c r="B9" s="3">
        <v>565</v>
      </c>
      <c r="C9" s="3">
        <v>16.899999999999999</v>
      </c>
      <c r="D9">
        <v>48</v>
      </c>
      <c r="E9" s="4">
        <v>2476470.588235294</v>
      </c>
      <c r="F9">
        <f t="shared" si="0"/>
        <v>2</v>
      </c>
      <c r="H9" s="28" t="s">
        <v>60</v>
      </c>
      <c r="I9" s="29"/>
      <c r="J9" s="29"/>
      <c r="K9" s="29"/>
      <c r="L9" s="28">
        <f>SUM(L5:L8)</f>
        <v>33</v>
      </c>
      <c r="M9" s="43">
        <f>SUM(M5:M8)</f>
        <v>1</v>
      </c>
      <c r="N9" s="29"/>
    </row>
    <row r="10" spans="1:17" x14ac:dyDescent="0.25">
      <c r="A10" s="2">
        <v>2008</v>
      </c>
      <c r="B10" s="3">
        <v>538</v>
      </c>
      <c r="C10" s="3">
        <v>16.899999999999999</v>
      </c>
      <c r="D10">
        <v>43</v>
      </c>
      <c r="E10" s="4">
        <v>2170000</v>
      </c>
      <c r="F10">
        <f t="shared" si="0"/>
        <v>2</v>
      </c>
      <c r="P10" s="28" t="s">
        <v>50</v>
      </c>
      <c r="Q10" s="44">
        <f>AVERAGE(C:C)</f>
        <v>17.366666666666664</v>
      </c>
    </row>
    <row r="11" spans="1:17" x14ac:dyDescent="0.25">
      <c r="A11" s="2">
        <v>1994</v>
      </c>
      <c r="B11" s="3">
        <v>169</v>
      </c>
      <c r="C11" s="3">
        <v>17</v>
      </c>
      <c r="D11">
        <v>27</v>
      </c>
      <c r="E11" s="4">
        <v>776190.47619047621</v>
      </c>
      <c r="F11">
        <f t="shared" si="0"/>
        <v>2</v>
      </c>
      <c r="H11" s="1" t="s">
        <v>71</v>
      </c>
      <c r="P11" s="28" t="s">
        <v>49</v>
      </c>
      <c r="Q11" s="9">
        <f>MEDIAN(C:C)</f>
        <v>17.2</v>
      </c>
    </row>
    <row r="12" spans="1:17" x14ac:dyDescent="0.25">
      <c r="A12" s="2">
        <v>1998</v>
      </c>
      <c r="B12" s="3">
        <v>732</v>
      </c>
      <c r="C12" s="3">
        <v>17</v>
      </c>
      <c r="D12">
        <v>59</v>
      </c>
      <c r="E12" s="4">
        <v>2242105.2631578948</v>
      </c>
      <c r="F12">
        <f t="shared" si="0"/>
        <v>2</v>
      </c>
      <c r="H12" s="10" t="s">
        <v>59</v>
      </c>
      <c r="I12" s="10"/>
      <c r="J12" s="10"/>
      <c r="K12" s="13"/>
      <c r="L12" s="10"/>
      <c r="M12" s="10"/>
      <c r="N12" s="10"/>
      <c r="O12" s="10"/>
    </row>
    <row r="13" spans="1:17" x14ac:dyDescent="0.25">
      <c r="A13" s="2">
        <v>2010</v>
      </c>
      <c r="B13" s="3">
        <v>988</v>
      </c>
      <c r="C13" s="3">
        <v>17</v>
      </c>
      <c r="D13">
        <v>81</v>
      </c>
      <c r="E13" s="4">
        <v>7588235.2941176463</v>
      </c>
      <c r="F13">
        <f t="shared" si="0"/>
        <v>2</v>
      </c>
      <c r="H13" s="10" t="s">
        <v>28</v>
      </c>
      <c r="I13" s="10"/>
      <c r="J13" s="10"/>
      <c r="K13" s="13"/>
      <c r="L13" s="10"/>
      <c r="M13" s="10"/>
      <c r="N13" s="10"/>
      <c r="O13" s="10"/>
    </row>
    <row r="14" spans="1:17" x14ac:dyDescent="0.25">
      <c r="A14" s="2">
        <v>2002</v>
      </c>
      <c r="B14" s="3">
        <v>468</v>
      </c>
      <c r="C14" s="3">
        <v>17.100000000000001</v>
      </c>
      <c r="D14">
        <v>39</v>
      </c>
      <c r="E14" s="4">
        <v>1780952.3809523811</v>
      </c>
      <c r="F14">
        <f t="shared" si="0"/>
        <v>2</v>
      </c>
      <c r="H14" s="11" t="s">
        <v>44</v>
      </c>
      <c r="I14" s="11" t="s">
        <v>31</v>
      </c>
      <c r="J14" s="10"/>
      <c r="K14" s="13"/>
      <c r="L14" s="10"/>
      <c r="M14" s="10"/>
      <c r="N14" s="10"/>
      <c r="O14" s="10"/>
    </row>
    <row r="15" spans="1:17" x14ac:dyDescent="0.25">
      <c r="A15" s="2">
        <v>2005</v>
      </c>
      <c r="B15" s="3">
        <v>245</v>
      </c>
      <c r="C15" s="3">
        <v>17.100000000000001</v>
      </c>
      <c r="D15">
        <v>37</v>
      </c>
      <c r="E15" s="4">
        <v>1400000</v>
      </c>
      <c r="F15">
        <f t="shared" si="0"/>
        <v>2</v>
      </c>
      <c r="H15" s="11" t="s">
        <v>45</v>
      </c>
      <c r="I15" s="11" t="s">
        <v>33</v>
      </c>
      <c r="J15" s="10"/>
      <c r="K15" s="13"/>
      <c r="L15" s="10"/>
      <c r="M15" s="10"/>
      <c r="N15" s="10"/>
      <c r="O15" s="10"/>
    </row>
    <row r="16" spans="1:17" x14ac:dyDescent="0.25">
      <c r="A16" s="2">
        <v>2000</v>
      </c>
      <c r="B16" s="3">
        <v>506</v>
      </c>
      <c r="C16" s="3">
        <v>17.2</v>
      </c>
      <c r="D16">
        <v>40</v>
      </c>
      <c r="E16" s="4">
        <v>2104545.4545454546</v>
      </c>
      <c r="F16">
        <f t="shared" si="0"/>
        <v>2</v>
      </c>
      <c r="H16" s="10" t="s">
        <v>42</v>
      </c>
      <c r="I16" s="10"/>
      <c r="J16" s="10"/>
      <c r="K16" s="13"/>
      <c r="L16" s="10"/>
      <c r="M16" s="10"/>
      <c r="N16" s="10"/>
      <c r="O16" s="10"/>
    </row>
    <row r="17" spans="1:15" x14ac:dyDescent="0.25">
      <c r="A17" s="2">
        <v>2003</v>
      </c>
      <c r="B17" s="3">
        <v>537</v>
      </c>
      <c r="C17" s="3">
        <v>17.2</v>
      </c>
      <c r="D17">
        <v>62</v>
      </c>
      <c r="E17" s="4">
        <v>3577777.777777778</v>
      </c>
      <c r="F17">
        <f t="shared" si="0"/>
        <v>2</v>
      </c>
      <c r="H17" s="10" t="s">
        <v>43</v>
      </c>
      <c r="I17" s="10"/>
      <c r="J17" s="10"/>
      <c r="K17" s="13"/>
      <c r="L17" s="10"/>
      <c r="M17" s="10"/>
      <c r="N17" s="10"/>
      <c r="O17" s="10"/>
    </row>
    <row r="18" spans="1:15" x14ac:dyDescent="0.25">
      <c r="A18" s="2">
        <v>2012</v>
      </c>
      <c r="B18" s="3">
        <v>266</v>
      </c>
      <c r="C18" s="3">
        <v>17.2</v>
      </c>
      <c r="D18">
        <v>26</v>
      </c>
      <c r="E18" s="4">
        <v>777777.77777777775</v>
      </c>
      <c r="F18">
        <f t="shared" si="0"/>
        <v>2</v>
      </c>
      <c r="G18" s="4">
        <f>AVERAGE(E5:E18)</f>
        <v>2625178.1149461376</v>
      </c>
      <c r="H18" s="10" t="s">
        <v>46</v>
      </c>
      <c r="I18" s="10"/>
      <c r="J18" s="10"/>
      <c r="K18" s="13"/>
      <c r="L18" s="10"/>
      <c r="M18" s="10"/>
      <c r="N18" s="10"/>
      <c r="O18" s="10"/>
    </row>
    <row r="19" spans="1:15" x14ac:dyDescent="0.25">
      <c r="A19" s="2">
        <v>1997</v>
      </c>
      <c r="B19" s="3">
        <v>797</v>
      </c>
      <c r="C19" s="48">
        <v>17.3</v>
      </c>
      <c r="D19">
        <v>38</v>
      </c>
      <c r="E19" s="4">
        <v>1500000</v>
      </c>
      <c r="F19">
        <f t="shared" si="0"/>
        <v>3</v>
      </c>
    </row>
    <row r="20" spans="1:15" x14ac:dyDescent="0.25">
      <c r="A20" s="2">
        <v>2001</v>
      </c>
      <c r="B20" s="3">
        <v>693</v>
      </c>
      <c r="C20" s="48">
        <v>17.399999999999999</v>
      </c>
      <c r="D20">
        <v>63</v>
      </c>
      <c r="E20" s="4">
        <v>8789473.6842105258</v>
      </c>
      <c r="F20">
        <f t="shared" si="0"/>
        <v>3</v>
      </c>
    </row>
    <row r="21" spans="1:15" x14ac:dyDescent="0.25">
      <c r="A21" s="2">
        <v>2014</v>
      </c>
      <c r="B21" s="3">
        <v>525</v>
      </c>
      <c r="C21" s="48">
        <v>17.5</v>
      </c>
      <c r="D21">
        <v>34</v>
      </c>
      <c r="E21" s="4">
        <v>1218947.3684210526</v>
      </c>
      <c r="F21">
        <f t="shared" si="0"/>
        <v>3</v>
      </c>
      <c r="H21" s="1" t="s">
        <v>72</v>
      </c>
    </row>
    <row r="22" spans="1:15" x14ac:dyDescent="0.25">
      <c r="A22" s="2">
        <v>2006</v>
      </c>
      <c r="B22" s="3">
        <v>525</v>
      </c>
      <c r="C22" s="48">
        <v>17.600000000000001</v>
      </c>
      <c r="D22">
        <v>40</v>
      </c>
      <c r="E22" s="4">
        <v>2140909.0909090908</v>
      </c>
      <c r="F22">
        <f t="shared" si="0"/>
        <v>3</v>
      </c>
    </row>
    <row r="23" spans="1:15" x14ac:dyDescent="0.25">
      <c r="A23" s="2">
        <v>2009</v>
      </c>
      <c r="B23" s="3">
        <v>561</v>
      </c>
      <c r="C23" s="48">
        <v>17.7</v>
      </c>
      <c r="D23">
        <v>42</v>
      </c>
      <c r="E23" s="4">
        <v>2155277.777777778</v>
      </c>
      <c r="F23">
        <f t="shared" si="0"/>
        <v>3</v>
      </c>
    </row>
    <row r="24" spans="1:15" x14ac:dyDescent="0.25">
      <c r="A24" s="2">
        <v>1995</v>
      </c>
      <c r="B24" s="3">
        <v>244</v>
      </c>
      <c r="C24" s="48">
        <v>17.8</v>
      </c>
      <c r="D24">
        <v>24</v>
      </c>
      <c r="E24" s="4">
        <v>510526.31578947365</v>
      </c>
      <c r="F24">
        <f t="shared" si="0"/>
        <v>3</v>
      </c>
      <c r="O24" s="4"/>
    </row>
    <row r="25" spans="1:15" x14ac:dyDescent="0.25">
      <c r="A25" s="2">
        <v>2011</v>
      </c>
      <c r="B25" s="3">
        <v>747</v>
      </c>
      <c r="C25" s="48">
        <v>17.8</v>
      </c>
      <c r="D25">
        <v>60</v>
      </c>
      <c r="E25" s="4">
        <v>3563157.8947368423</v>
      </c>
      <c r="F25">
        <f t="shared" si="0"/>
        <v>3</v>
      </c>
    </row>
    <row r="26" spans="1:15" x14ac:dyDescent="0.25">
      <c r="A26" s="2">
        <v>2016</v>
      </c>
      <c r="B26" s="3">
        <v>554</v>
      </c>
      <c r="C26" s="48">
        <v>17.8</v>
      </c>
      <c r="D26">
        <v>51</v>
      </c>
      <c r="E26" s="4">
        <v>2409523.8095238097</v>
      </c>
      <c r="F26">
        <f t="shared" si="0"/>
        <v>3</v>
      </c>
    </row>
    <row r="27" spans="1:15" x14ac:dyDescent="0.25">
      <c r="A27" s="2">
        <v>2019</v>
      </c>
      <c r="B27" s="3">
        <v>392</v>
      </c>
      <c r="C27" s="48">
        <v>17.899999999999999</v>
      </c>
      <c r="D27">
        <v>38</v>
      </c>
      <c r="E27" s="4">
        <v>1795454.5454545454</v>
      </c>
      <c r="F27">
        <f t="shared" si="0"/>
        <v>3</v>
      </c>
    </row>
    <row r="28" spans="1:15" x14ac:dyDescent="0.25">
      <c r="A28" s="2">
        <v>2021</v>
      </c>
      <c r="B28" s="3">
        <v>524</v>
      </c>
      <c r="C28" s="48">
        <v>17.899999999999999</v>
      </c>
      <c r="D28">
        <v>56</v>
      </c>
      <c r="E28" s="4">
        <v>2777777.777777778</v>
      </c>
      <c r="F28">
        <f t="shared" si="0"/>
        <v>3</v>
      </c>
      <c r="G28" s="49">
        <f>AVERAGE(E19:E28)</f>
        <v>2686104.8264600895</v>
      </c>
      <c r="H28" s="4"/>
    </row>
    <row r="29" spans="1:15" x14ac:dyDescent="0.25">
      <c r="A29" s="2">
        <v>2015</v>
      </c>
      <c r="B29" s="3">
        <v>434</v>
      </c>
      <c r="C29" s="3">
        <v>18.2</v>
      </c>
      <c r="D29">
        <v>53</v>
      </c>
      <c r="E29" s="4">
        <v>2694444.4444444445</v>
      </c>
      <c r="F29">
        <f t="shared" si="0"/>
        <v>4</v>
      </c>
    </row>
    <row r="30" spans="1:15" x14ac:dyDescent="0.25">
      <c r="A30" s="2">
        <v>2020</v>
      </c>
      <c r="B30" s="3">
        <v>700</v>
      </c>
      <c r="C30" s="3">
        <v>18.399999999999999</v>
      </c>
      <c r="D30">
        <v>86</v>
      </c>
      <c r="E30" s="4">
        <v>6842105.2631578948</v>
      </c>
      <c r="F30">
        <f t="shared" si="0"/>
        <v>4</v>
      </c>
    </row>
    <row r="31" spans="1:15" x14ac:dyDescent="0.25">
      <c r="A31" s="2">
        <v>2023</v>
      </c>
      <c r="B31" s="3">
        <v>413</v>
      </c>
      <c r="C31" s="3">
        <v>18.5</v>
      </c>
      <c r="D31">
        <v>33</v>
      </c>
      <c r="E31" s="4">
        <v>1194444.4444444445</v>
      </c>
      <c r="F31">
        <f t="shared" si="0"/>
        <v>4</v>
      </c>
    </row>
    <row r="32" spans="1:15" x14ac:dyDescent="0.25">
      <c r="A32" s="2">
        <v>2017</v>
      </c>
      <c r="B32" s="3">
        <v>461</v>
      </c>
      <c r="C32" s="3">
        <v>18.7</v>
      </c>
      <c r="D32">
        <v>44</v>
      </c>
      <c r="E32" s="4">
        <v>2008733.3333333333</v>
      </c>
      <c r="F32">
        <f t="shared" si="0"/>
        <v>4</v>
      </c>
    </row>
    <row r="33" spans="1:7" x14ac:dyDescent="0.25">
      <c r="A33" s="2">
        <v>2024</v>
      </c>
      <c r="B33" s="3">
        <v>643</v>
      </c>
      <c r="C33" s="3">
        <v>18.8</v>
      </c>
      <c r="D33">
        <v>55</v>
      </c>
      <c r="E33" s="4">
        <v>7125000</v>
      </c>
      <c r="F33">
        <f t="shared" si="0"/>
        <v>4</v>
      </c>
    </row>
    <row r="34" spans="1:7" x14ac:dyDescent="0.25">
      <c r="A34" s="2">
        <v>2022</v>
      </c>
      <c r="B34" s="3">
        <v>476</v>
      </c>
      <c r="C34" s="3">
        <v>18.899999999999999</v>
      </c>
      <c r="D34">
        <v>30</v>
      </c>
      <c r="E34" s="4">
        <v>1052631.5789473683</v>
      </c>
      <c r="F34">
        <f t="shared" si="0"/>
        <v>4</v>
      </c>
      <c r="G34" s="4">
        <f>AVERAGE(E29:E34)</f>
        <v>3486226.5107212476</v>
      </c>
    </row>
  </sheetData>
  <sortState xmlns:xlrd2="http://schemas.microsoft.com/office/spreadsheetml/2017/richdata2" ref="A2:E34">
    <sortCondition ref="C2:C34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CE89-97DA-4FD7-B02F-059C24A4CDC7}">
  <dimension ref="A1:Q34"/>
  <sheetViews>
    <sheetView topLeftCell="B1" workbookViewId="0">
      <selection activeCell="L8" sqref="L8"/>
    </sheetView>
  </sheetViews>
  <sheetFormatPr baseColWidth="10" defaultRowHeight="15" x14ac:dyDescent="0.25"/>
  <cols>
    <col min="1" max="1" width="13.5703125" bestFit="1" customWidth="1"/>
    <col min="2" max="2" width="19.140625" bestFit="1" customWidth="1"/>
    <col min="3" max="3" width="16.7109375" style="35" bestFit="1" customWidth="1"/>
    <col min="10" max="10" width="11.85546875" bestFit="1" customWidth="1"/>
    <col min="12" max="12" width="16.5703125" bestFit="1" customWidth="1"/>
    <col min="17" max="17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53</v>
      </c>
      <c r="E1" s="46" t="s">
        <v>37</v>
      </c>
      <c r="F1" s="46">
        <v>5</v>
      </c>
      <c r="L1" s="46" t="s">
        <v>37</v>
      </c>
      <c r="M1" s="46">
        <v>3</v>
      </c>
    </row>
    <row r="2" spans="1:17" x14ac:dyDescent="0.25">
      <c r="A2" s="2">
        <v>1992</v>
      </c>
      <c r="B2" s="3">
        <v>15.5</v>
      </c>
      <c r="F2" s="1" t="s">
        <v>40</v>
      </c>
      <c r="G2">
        <f>MIN(B:B)</f>
        <v>15.5</v>
      </c>
      <c r="I2" s="1" t="s">
        <v>38</v>
      </c>
      <c r="J2" s="1" t="s">
        <v>39</v>
      </c>
      <c r="L2" s="1" t="s">
        <v>40</v>
      </c>
      <c r="M2">
        <f>MIN(B:B)</f>
        <v>15.5</v>
      </c>
      <c r="N2" t="s">
        <v>38</v>
      </c>
      <c r="O2" t="s">
        <v>39</v>
      </c>
    </row>
    <row r="3" spans="1:17" x14ac:dyDescent="0.25">
      <c r="A3" s="2">
        <v>1993</v>
      </c>
      <c r="B3" s="3">
        <v>15.7</v>
      </c>
      <c r="F3" s="1" t="s">
        <v>41</v>
      </c>
      <c r="G3">
        <f>MAX(B:B)</f>
        <v>18.899999999999999</v>
      </c>
      <c r="I3">
        <f>G2</f>
        <v>15.5</v>
      </c>
      <c r="J3">
        <f>I3+F1</f>
        <v>20.5</v>
      </c>
      <c r="L3" s="1" t="s">
        <v>41</v>
      </c>
      <c r="M3">
        <f>MAX(B:B)</f>
        <v>18.899999999999999</v>
      </c>
      <c r="N3">
        <f>B2</f>
        <v>15.5</v>
      </c>
      <c r="O3">
        <f>N3+M1</f>
        <v>18.5</v>
      </c>
    </row>
    <row r="4" spans="1:17" x14ac:dyDescent="0.25">
      <c r="A4" s="2">
        <v>1994</v>
      </c>
      <c r="B4" s="3">
        <v>17</v>
      </c>
      <c r="C4" s="35">
        <f>AVERAGE(B2:B4)</f>
        <v>16.066666666666666</v>
      </c>
      <c r="I4">
        <f>J3</f>
        <v>20.5</v>
      </c>
      <c r="J4">
        <f>I4+E2</f>
        <v>20.5</v>
      </c>
    </row>
    <row r="5" spans="1:17" x14ac:dyDescent="0.25">
      <c r="A5" s="2">
        <v>1995</v>
      </c>
      <c r="B5" s="3">
        <v>17.8</v>
      </c>
    </row>
    <row r="6" spans="1:17" x14ac:dyDescent="0.25">
      <c r="A6" s="2">
        <v>1996</v>
      </c>
      <c r="B6" s="3">
        <v>16.2</v>
      </c>
    </row>
    <row r="7" spans="1:17" x14ac:dyDescent="0.25">
      <c r="A7" s="2">
        <v>1997</v>
      </c>
      <c r="B7" s="3">
        <v>17.3</v>
      </c>
      <c r="C7" s="35">
        <f>AVERAGE(B5:B7)</f>
        <v>17.099999999999998</v>
      </c>
    </row>
    <row r="8" spans="1:17" x14ac:dyDescent="0.25">
      <c r="A8" s="2">
        <v>1998</v>
      </c>
      <c r="B8" s="3">
        <v>17</v>
      </c>
      <c r="E8" s="1" t="s">
        <v>76</v>
      </c>
      <c r="H8" s="1" t="s">
        <v>77</v>
      </c>
      <c r="L8" s="1" t="s">
        <v>78</v>
      </c>
      <c r="O8" s="1" t="s">
        <v>79</v>
      </c>
      <c r="Q8" s="1" t="s">
        <v>53</v>
      </c>
    </row>
    <row r="9" spans="1:17" x14ac:dyDescent="0.25">
      <c r="A9" s="2">
        <v>1999</v>
      </c>
      <c r="B9" s="3">
        <v>16.8</v>
      </c>
      <c r="F9">
        <v>1992</v>
      </c>
      <c r="G9">
        <f t="shared" ref="G9:G15" si="0">F9+$F$1</f>
        <v>1997</v>
      </c>
      <c r="H9">
        <f>SUMIF($A$2:$A$34,"&lt;="&amp;G9,$B$2:$B$34)</f>
        <v>99.5</v>
      </c>
      <c r="I9">
        <f>H9</f>
        <v>99.5</v>
      </c>
      <c r="J9">
        <f>H9</f>
        <v>99.5</v>
      </c>
      <c r="L9">
        <f>A2</f>
        <v>1992</v>
      </c>
      <c r="M9">
        <f>L9+$M$1</f>
        <v>1995</v>
      </c>
      <c r="N9">
        <f>SUMIF($A$2:$A$34,"&lt;="&amp;M9,$B$2:$B$34)</f>
        <v>66</v>
      </c>
      <c r="O9">
        <f>N9</f>
        <v>66</v>
      </c>
      <c r="Q9" s="35">
        <f>C4</f>
        <v>16.066666666666666</v>
      </c>
    </row>
    <row r="10" spans="1:17" x14ac:dyDescent="0.25">
      <c r="A10" s="2">
        <v>2000</v>
      </c>
      <c r="B10" s="3">
        <v>17.2</v>
      </c>
      <c r="C10" s="35">
        <f>AVERAGE(B8:B10)</f>
        <v>17</v>
      </c>
      <c r="F10">
        <f t="shared" ref="F10:F15" si="1">G9</f>
        <v>1997</v>
      </c>
      <c r="G10">
        <f t="shared" si="0"/>
        <v>2002</v>
      </c>
      <c r="H10">
        <f t="shared" ref="H10:H15" si="2">SUMIF($A$2:$A$34,"&lt;="&amp;G10,$B$2:$B$34)</f>
        <v>185</v>
      </c>
      <c r="I10">
        <f>H10+H9</f>
        <v>284.5</v>
      </c>
      <c r="J10">
        <f>I10-H10</f>
        <v>99.5</v>
      </c>
      <c r="L10">
        <f>M9</f>
        <v>1995</v>
      </c>
      <c r="M10">
        <f>L10+$M$1</f>
        <v>1998</v>
      </c>
      <c r="N10">
        <f>SUMIF($A$2:$A$34,"&lt;="&amp;M10,$B$2:$B$34)</f>
        <v>116.5</v>
      </c>
      <c r="O10">
        <f>N9+N10</f>
        <v>182.5</v>
      </c>
      <c r="Q10" s="35">
        <f>C7</f>
        <v>17.099999999999998</v>
      </c>
    </row>
    <row r="11" spans="1:17" x14ac:dyDescent="0.25">
      <c r="A11" s="2">
        <v>2001</v>
      </c>
      <c r="B11" s="3">
        <v>17.399999999999999</v>
      </c>
      <c r="F11">
        <f t="shared" si="1"/>
        <v>2002</v>
      </c>
      <c r="G11">
        <f t="shared" si="0"/>
        <v>2007</v>
      </c>
      <c r="H11">
        <f t="shared" si="2"/>
        <v>270.59999999999997</v>
      </c>
      <c r="I11">
        <f>H11+I10</f>
        <v>555.09999999999991</v>
      </c>
      <c r="J11">
        <f>I11-H11</f>
        <v>284.49999999999994</v>
      </c>
      <c r="L11">
        <f t="shared" ref="L11:L19" si="3">M10</f>
        <v>1998</v>
      </c>
      <c r="M11">
        <f t="shared" ref="M11:M19" si="4">L11+$M$1</f>
        <v>2001</v>
      </c>
      <c r="N11">
        <f t="shared" ref="N11:N19" si="5">SUMIF($A$2:$A$34,"&lt;="&amp;M11,$B$2:$B$34)</f>
        <v>167.9</v>
      </c>
      <c r="O11">
        <f t="shared" ref="O11:O19" si="6">N10+N11</f>
        <v>284.39999999999998</v>
      </c>
      <c r="Q11" s="35">
        <f>C10</f>
        <v>17</v>
      </c>
    </row>
    <row r="12" spans="1:17" x14ac:dyDescent="0.25">
      <c r="A12" s="2">
        <v>2002</v>
      </c>
      <c r="B12" s="3">
        <v>17.100000000000001</v>
      </c>
      <c r="F12">
        <f t="shared" si="1"/>
        <v>2007</v>
      </c>
      <c r="G12">
        <f t="shared" si="0"/>
        <v>2012</v>
      </c>
      <c r="H12">
        <f t="shared" si="2"/>
        <v>357.19999999999993</v>
      </c>
      <c r="I12">
        <f>H12+I11</f>
        <v>912.29999999999984</v>
      </c>
      <c r="J12">
        <f t="shared" ref="J12:J13" si="7">I12-H12</f>
        <v>555.09999999999991</v>
      </c>
      <c r="L12">
        <f t="shared" si="3"/>
        <v>2001</v>
      </c>
      <c r="M12">
        <f t="shared" si="4"/>
        <v>2004</v>
      </c>
      <c r="N12">
        <f t="shared" si="5"/>
        <v>219.1</v>
      </c>
      <c r="O12">
        <f t="shared" si="6"/>
        <v>387</v>
      </c>
      <c r="Q12" s="35">
        <f>C13</f>
        <v>17.233333333333334</v>
      </c>
    </row>
    <row r="13" spans="1:17" x14ac:dyDescent="0.25">
      <c r="A13" s="2">
        <v>2003</v>
      </c>
      <c r="B13" s="3">
        <v>17.2</v>
      </c>
      <c r="C13" s="35">
        <f>AVERAGE(B11:B13)</f>
        <v>17.233333333333334</v>
      </c>
      <c r="F13">
        <f t="shared" si="1"/>
        <v>2012</v>
      </c>
      <c r="G13">
        <f t="shared" si="0"/>
        <v>2017</v>
      </c>
      <c r="H13">
        <f t="shared" si="2"/>
        <v>445.89999999999992</v>
      </c>
      <c r="I13">
        <f>H13+I12</f>
        <v>1358.1999999999998</v>
      </c>
      <c r="J13">
        <f t="shared" si="7"/>
        <v>912.3</v>
      </c>
      <c r="L13">
        <f t="shared" si="3"/>
        <v>2004</v>
      </c>
      <c r="M13">
        <f t="shared" si="4"/>
        <v>2007</v>
      </c>
      <c r="N13">
        <f t="shared" si="5"/>
        <v>270.59999999999997</v>
      </c>
      <c r="O13">
        <f t="shared" si="6"/>
        <v>489.69999999999993</v>
      </c>
      <c r="Q13" s="35">
        <f>C16</f>
        <v>17.2</v>
      </c>
    </row>
    <row r="14" spans="1:17" x14ac:dyDescent="0.25">
      <c r="A14" s="2">
        <v>2004</v>
      </c>
      <c r="B14" s="3">
        <v>16.899999999999999</v>
      </c>
      <c r="F14">
        <f t="shared" si="1"/>
        <v>2017</v>
      </c>
      <c r="G14">
        <f t="shared" si="0"/>
        <v>2022</v>
      </c>
      <c r="H14">
        <f t="shared" si="2"/>
        <v>535.79999999999984</v>
      </c>
      <c r="I14">
        <f>H14+I13</f>
        <v>1893.9999999999995</v>
      </c>
      <c r="J14">
        <f>I14-H14</f>
        <v>1358.1999999999998</v>
      </c>
      <c r="L14">
        <f t="shared" si="3"/>
        <v>2007</v>
      </c>
      <c r="M14">
        <f t="shared" si="4"/>
        <v>2010</v>
      </c>
      <c r="N14">
        <f t="shared" si="5"/>
        <v>322.19999999999993</v>
      </c>
      <c r="O14">
        <f t="shared" si="6"/>
        <v>592.79999999999995</v>
      </c>
      <c r="Q14" s="35">
        <f>C19</f>
        <v>17.133333333333336</v>
      </c>
    </row>
    <row r="15" spans="1:17" x14ac:dyDescent="0.25">
      <c r="A15" s="2">
        <v>2005</v>
      </c>
      <c r="B15" s="3">
        <v>17.100000000000001</v>
      </c>
      <c r="F15">
        <f t="shared" si="1"/>
        <v>2022</v>
      </c>
      <c r="G15">
        <f t="shared" si="0"/>
        <v>2027</v>
      </c>
      <c r="H15">
        <f t="shared" si="2"/>
        <v>573.0999999999998</v>
      </c>
      <c r="I15">
        <f>H15+I14</f>
        <v>2467.0999999999995</v>
      </c>
      <c r="J15">
        <f>I15-H15</f>
        <v>1893.9999999999995</v>
      </c>
      <c r="L15">
        <f t="shared" si="3"/>
        <v>2010</v>
      </c>
      <c r="M15">
        <f t="shared" si="4"/>
        <v>2013</v>
      </c>
      <c r="N15">
        <f t="shared" si="5"/>
        <v>373.69999999999993</v>
      </c>
      <c r="O15">
        <f t="shared" si="6"/>
        <v>695.89999999999986</v>
      </c>
      <c r="Q15" s="35">
        <f>C22</f>
        <v>17.333333333333332</v>
      </c>
    </row>
    <row r="16" spans="1:17" x14ac:dyDescent="0.25">
      <c r="A16" s="2">
        <v>2006</v>
      </c>
      <c r="B16" s="3">
        <v>17.600000000000001</v>
      </c>
      <c r="C16" s="35">
        <f>AVERAGE(B14:B16)</f>
        <v>17.2</v>
      </c>
      <c r="L16">
        <f t="shared" si="3"/>
        <v>2013</v>
      </c>
      <c r="M16">
        <f t="shared" si="4"/>
        <v>2016</v>
      </c>
      <c r="N16">
        <f t="shared" si="5"/>
        <v>427.19999999999993</v>
      </c>
      <c r="O16">
        <f t="shared" si="6"/>
        <v>800.89999999999986</v>
      </c>
      <c r="Q16" s="35">
        <f>C25</f>
        <v>17.400000000000002</v>
      </c>
    </row>
    <row r="17" spans="1:17" x14ac:dyDescent="0.25">
      <c r="A17" s="2">
        <v>2007</v>
      </c>
      <c r="B17" s="3">
        <v>16.8</v>
      </c>
      <c r="L17">
        <f t="shared" si="3"/>
        <v>2016</v>
      </c>
      <c r="M17">
        <f t="shared" si="4"/>
        <v>2019</v>
      </c>
      <c r="N17">
        <f t="shared" si="5"/>
        <v>480.59999999999991</v>
      </c>
      <c r="O17">
        <f t="shared" si="6"/>
        <v>907.79999999999984</v>
      </c>
      <c r="Q17" s="35">
        <f>C28</f>
        <v>17.766666666666666</v>
      </c>
    </row>
    <row r="18" spans="1:17" x14ac:dyDescent="0.25">
      <c r="A18" s="2">
        <v>2008</v>
      </c>
      <c r="B18" s="3">
        <v>16.899999999999999</v>
      </c>
      <c r="L18">
        <f t="shared" si="3"/>
        <v>2019</v>
      </c>
      <c r="M18">
        <f t="shared" si="4"/>
        <v>2022</v>
      </c>
      <c r="N18">
        <f t="shared" si="5"/>
        <v>535.79999999999984</v>
      </c>
      <c r="O18">
        <f t="shared" si="6"/>
        <v>1016.3999999999997</v>
      </c>
      <c r="Q18" s="35">
        <f>C31</f>
        <v>18.066666666666666</v>
      </c>
    </row>
    <row r="19" spans="1:17" x14ac:dyDescent="0.25">
      <c r="A19" s="2">
        <v>2009</v>
      </c>
      <c r="B19" s="3">
        <v>17.7</v>
      </c>
      <c r="C19" s="35">
        <f>AVERAGE(B17:B19)</f>
        <v>17.133333333333336</v>
      </c>
      <c r="L19">
        <f t="shared" si="3"/>
        <v>2022</v>
      </c>
      <c r="M19">
        <f t="shared" si="4"/>
        <v>2025</v>
      </c>
      <c r="N19">
        <f t="shared" si="5"/>
        <v>573.0999999999998</v>
      </c>
      <c r="O19">
        <f t="shared" si="6"/>
        <v>1108.8999999999996</v>
      </c>
      <c r="Q19" s="35">
        <f>C34</f>
        <v>18.733333333333334</v>
      </c>
    </row>
    <row r="20" spans="1:17" x14ac:dyDescent="0.25">
      <c r="A20" s="2">
        <v>2010</v>
      </c>
      <c r="B20" s="3">
        <v>17</v>
      </c>
    </row>
    <row r="21" spans="1:17" x14ac:dyDescent="0.25">
      <c r="A21" s="2">
        <v>2011</v>
      </c>
      <c r="B21" s="3">
        <v>17.8</v>
      </c>
      <c r="L21" s="1" t="s">
        <v>73</v>
      </c>
    </row>
    <row r="22" spans="1:17" x14ac:dyDescent="0.25">
      <c r="A22" s="2">
        <v>2012</v>
      </c>
      <c r="B22" s="3">
        <v>17.2</v>
      </c>
      <c r="C22" s="35">
        <f>AVERAGE(B20:B22)</f>
        <v>17.333333333333332</v>
      </c>
    </row>
    <row r="23" spans="1:17" x14ac:dyDescent="0.25">
      <c r="A23" s="2">
        <v>2013</v>
      </c>
      <c r="B23" s="3">
        <v>16.5</v>
      </c>
    </row>
    <row r="24" spans="1:17" x14ac:dyDescent="0.25">
      <c r="A24" s="2">
        <v>2014</v>
      </c>
      <c r="B24" s="3">
        <v>17.5</v>
      </c>
    </row>
    <row r="25" spans="1:17" x14ac:dyDescent="0.25">
      <c r="A25" s="2">
        <v>2015</v>
      </c>
      <c r="B25" s="3">
        <v>18.2</v>
      </c>
      <c r="C25" s="35">
        <f>AVERAGE(B23:B25)</f>
        <v>17.400000000000002</v>
      </c>
    </row>
    <row r="26" spans="1:17" x14ac:dyDescent="0.25">
      <c r="A26" s="2">
        <v>2016</v>
      </c>
      <c r="B26" s="3">
        <v>17.8</v>
      </c>
    </row>
    <row r="27" spans="1:17" x14ac:dyDescent="0.25">
      <c r="A27" s="2">
        <v>2017</v>
      </c>
      <c r="B27" s="3">
        <v>18.7</v>
      </c>
    </row>
    <row r="28" spans="1:17" x14ac:dyDescent="0.25">
      <c r="A28" s="2">
        <v>2018</v>
      </c>
      <c r="B28" s="3">
        <v>16.8</v>
      </c>
      <c r="C28" s="35">
        <f>AVERAGE(B26:B28)</f>
        <v>17.766666666666666</v>
      </c>
    </row>
    <row r="29" spans="1:17" x14ac:dyDescent="0.25">
      <c r="A29" s="2">
        <v>2019</v>
      </c>
      <c r="B29" s="3">
        <v>17.899999999999999</v>
      </c>
    </row>
    <row r="30" spans="1:17" x14ac:dyDescent="0.25">
      <c r="A30" s="2">
        <v>2020</v>
      </c>
      <c r="B30" s="3">
        <v>18.399999999999999</v>
      </c>
    </row>
    <row r="31" spans="1:17" x14ac:dyDescent="0.25">
      <c r="A31" s="2">
        <v>2021</v>
      </c>
      <c r="B31" s="3">
        <v>17.899999999999999</v>
      </c>
      <c r="C31" s="35">
        <f>AVERAGE(B29:B31)</f>
        <v>18.066666666666666</v>
      </c>
    </row>
    <row r="32" spans="1:17" x14ac:dyDescent="0.25">
      <c r="A32" s="2">
        <v>2022</v>
      </c>
      <c r="B32" s="3">
        <v>18.899999999999999</v>
      </c>
    </row>
    <row r="33" spans="1:3" x14ac:dyDescent="0.25">
      <c r="A33" s="2">
        <v>2023</v>
      </c>
      <c r="B33" s="3">
        <v>18.5</v>
      </c>
    </row>
    <row r="34" spans="1:3" x14ac:dyDescent="0.25">
      <c r="A34" s="2">
        <v>2024</v>
      </c>
      <c r="B34" s="3">
        <v>18.8</v>
      </c>
      <c r="C34" s="35">
        <f>AVERAGE(B32:B34)</f>
        <v>18.733333333333334</v>
      </c>
    </row>
  </sheetData>
  <sortState xmlns:xlrd2="http://schemas.microsoft.com/office/spreadsheetml/2017/richdata2" ref="A2:B34">
    <sortCondition ref="A2:A34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F627-B461-4699-9A9E-96AB7C25A31B}">
  <dimension ref="A1:S34"/>
  <sheetViews>
    <sheetView tabSelected="1" zoomScale="85" zoomScaleNormal="85" workbookViewId="0">
      <selection activeCell="M41" sqref="M41"/>
    </sheetView>
  </sheetViews>
  <sheetFormatPr baseColWidth="10" defaultRowHeight="15" x14ac:dyDescent="0.25"/>
  <cols>
    <col min="1" max="1" width="5.140625" bestFit="1" customWidth="1"/>
    <col min="2" max="2" width="20.7109375" bestFit="1" customWidth="1"/>
    <col min="3" max="3" width="11.85546875" bestFit="1" customWidth="1"/>
    <col min="4" max="4" width="6.42578125" customWidth="1"/>
    <col min="5" max="5" width="16.140625" bestFit="1" customWidth="1"/>
    <col min="12" max="12" width="7.42578125" customWidth="1"/>
  </cols>
  <sheetData>
    <row r="1" spans="1:19" x14ac:dyDescent="0.25">
      <c r="A1" t="s">
        <v>14</v>
      </c>
      <c r="B1" s="1" t="s">
        <v>12</v>
      </c>
      <c r="C1" s="1" t="s">
        <v>35</v>
      </c>
      <c r="E1" s="28" t="s">
        <v>21</v>
      </c>
      <c r="F1" s="28" t="s">
        <v>20</v>
      </c>
      <c r="G1" s="28" t="s">
        <v>23</v>
      </c>
      <c r="H1" s="28" t="s">
        <v>24</v>
      </c>
      <c r="I1" s="28" t="s">
        <v>25</v>
      </c>
      <c r="J1" s="28" t="s">
        <v>27</v>
      </c>
      <c r="K1" s="28" t="s">
        <v>26</v>
      </c>
      <c r="M1" s="7" t="s">
        <v>29</v>
      </c>
      <c r="N1" s="9">
        <f>MAX(B:B)</f>
        <v>1073</v>
      </c>
      <c r="R1" s="1"/>
      <c r="S1" s="1"/>
    </row>
    <row r="2" spans="1:19" x14ac:dyDescent="0.25">
      <c r="A2" s="2">
        <v>1994</v>
      </c>
      <c r="B2" s="3">
        <v>169</v>
      </c>
      <c r="C2">
        <f>_xlfn.IFS(B2&lt;=H$2,1,B2&lt;=$H$3,2,B2&lt;=$H$4,3,B2&lt;=$H$5,4,B2&lt;=$H$6,5)</f>
        <v>1</v>
      </c>
      <c r="E2">
        <v>1</v>
      </c>
      <c r="F2" s="21" t="s">
        <v>15</v>
      </c>
      <c r="G2">
        <f>N2</f>
        <v>169</v>
      </c>
      <c r="H2">
        <f>G2+$N$6</f>
        <v>349.8</v>
      </c>
      <c r="I2">
        <f>COUNTIF(C:C,E2)</f>
        <v>6</v>
      </c>
      <c r="J2" s="27">
        <f>I2/$I$7</f>
        <v>0.18181818181818182</v>
      </c>
      <c r="K2">
        <f>I2</f>
        <v>6</v>
      </c>
      <c r="M2" s="7" t="s">
        <v>30</v>
      </c>
      <c r="N2" s="9">
        <f>MIN(B:B)</f>
        <v>169</v>
      </c>
      <c r="R2" s="2"/>
      <c r="S2" s="3"/>
    </row>
    <row r="3" spans="1:19" x14ac:dyDescent="0.25">
      <c r="A3" s="2">
        <v>1995</v>
      </c>
      <c r="B3" s="3">
        <v>244</v>
      </c>
      <c r="C3">
        <f t="shared" ref="C3:C34" si="0">_xlfn.IFS(B3&lt;=H$2,1,B3&lt;=$H$3,2,B3&lt;=$H$4,3,B3&lt;=$H$5,4,B3&lt;=$H$6,5)</f>
        <v>1</v>
      </c>
      <c r="E3">
        <v>2</v>
      </c>
      <c r="F3" s="15" t="s">
        <v>16</v>
      </c>
      <c r="G3">
        <f>H2</f>
        <v>349.8</v>
      </c>
      <c r="H3">
        <f>G3+$N$6</f>
        <v>530.6</v>
      </c>
      <c r="I3">
        <f>COUNTIF(C:C,E3)</f>
        <v>12</v>
      </c>
      <c r="J3" s="26">
        <f>I3/$I$7</f>
        <v>0.36363636363636365</v>
      </c>
      <c r="K3">
        <f>K2+I3</f>
        <v>18</v>
      </c>
      <c r="M3" s="8"/>
      <c r="N3" s="9"/>
      <c r="R3" s="2"/>
      <c r="S3" s="3"/>
    </row>
    <row r="4" spans="1:19" x14ac:dyDescent="0.25">
      <c r="A4" s="2">
        <v>2005</v>
      </c>
      <c r="B4" s="3">
        <v>245</v>
      </c>
      <c r="C4">
        <f t="shared" si="0"/>
        <v>1</v>
      </c>
      <c r="E4">
        <v>3</v>
      </c>
      <c r="F4" s="16" t="s">
        <v>17</v>
      </c>
      <c r="G4">
        <f>H3</f>
        <v>530.6</v>
      </c>
      <c r="H4">
        <f>G4+$N$6</f>
        <v>711.40000000000009</v>
      </c>
      <c r="I4">
        <f>COUNTIF(C:C,E4)</f>
        <v>9</v>
      </c>
      <c r="J4" s="25">
        <f>I4/$I$7</f>
        <v>0.27272727272727271</v>
      </c>
      <c r="K4">
        <f>K3+I4</f>
        <v>27</v>
      </c>
      <c r="M4" s="7" t="s">
        <v>31</v>
      </c>
      <c r="N4" s="9">
        <f>N1-N2</f>
        <v>904</v>
      </c>
      <c r="R4" s="2"/>
      <c r="S4" s="3"/>
    </row>
    <row r="5" spans="1:19" x14ac:dyDescent="0.25">
      <c r="A5" s="2">
        <v>2012</v>
      </c>
      <c r="B5" s="3">
        <v>266</v>
      </c>
      <c r="C5">
        <f t="shared" si="0"/>
        <v>1</v>
      </c>
      <c r="E5">
        <v>4</v>
      </c>
      <c r="F5" s="22" t="s">
        <v>18</v>
      </c>
      <c r="G5">
        <f>H4</f>
        <v>711.40000000000009</v>
      </c>
      <c r="H5">
        <f>G5+$N$6</f>
        <v>892.2</v>
      </c>
      <c r="I5">
        <f>COUNTIF(C:C,E5)</f>
        <v>4</v>
      </c>
      <c r="J5" s="24">
        <f>I5/$I$7</f>
        <v>0.12121212121212122</v>
      </c>
      <c r="K5">
        <f>K4+I5</f>
        <v>31</v>
      </c>
      <c r="M5" s="7" t="s">
        <v>32</v>
      </c>
      <c r="N5" s="9">
        <v>5</v>
      </c>
      <c r="R5" s="2"/>
      <c r="S5" s="3"/>
    </row>
    <row r="6" spans="1:19" x14ac:dyDescent="0.25">
      <c r="A6" s="2">
        <v>1999</v>
      </c>
      <c r="B6" s="3">
        <v>273</v>
      </c>
      <c r="C6">
        <f t="shared" si="0"/>
        <v>1</v>
      </c>
      <c r="E6">
        <v>5</v>
      </c>
      <c r="F6" s="18" t="s">
        <v>19</v>
      </c>
      <c r="G6">
        <f>H5</f>
        <v>892.2</v>
      </c>
      <c r="H6">
        <f>G6+$N$6</f>
        <v>1073</v>
      </c>
      <c r="I6">
        <f>COUNTIF(C:C,E6)</f>
        <v>2</v>
      </c>
      <c r="J6" s="23">
        <f>I6/$I$7</f>
        <v>6.0606060606060608E-2</v>
      </c>
      <c r="K6" s="1">
        <f>K5+I6</f>
        <v>33</v>
      </c>
      <c r="M6" s="7" t="s">
        <v>33</v>
      </c>
      <c r="N6" s="9">
        <f>N4/N5</f>
        <v>180.8</v>
      </c>
      <c r="R6" s="2"/>
      <c r="S6" s="3"/>
    </row>
    <row r="7" spans="1:19" x14ac:dyDescent="0.25">
      <c r="A7" s="2">
        <v>1993</v>
      </c>
      <c r="B7" s="3">
        <v>306</v>
      </c>
      <c r="C7">
        <f t="shared" si="0"/>
        <v>1</v>
      </c>
      <c r="E7" s="28" t="s">
        <v>34</v>
      </c>
      <c r="F7" s="29"/>
      <c r="G7" s="29"/>
      <c r="H7" s="29"/>
      <c r="I7" s="28">
        <f>SUM(I2:I6)</f>
        <v>33</v>
      </c>
      <c r="J7" s="30">
        <f>SUM(J2:J6)</f>
        <v>1</v>
      </c>
      <c r="K7" s="29"/>
      <c r="R7" s="2"/>
      <c r="S7" s="3"/>
    </row>
    <row r="8" spans="1:19" x14ac:dyDescent="0.25">
      <c r="A8" s="2">
        <v>2019</v>
      </c>
      <c r="B8" s="3">
        <v>392</v>
      </c>
      <c r="C8">
        <f t="shared" si="0"/>
        <v>2</v>
      </c>
      <c r="M8" s="28" t="s">
        <v>50</v>
      </c>
      <c r="N8" s="9">
        <f>AVERAGE(B:B)</f>
        <v>537</v>
      </c>
      <c r="R8" s="2"/>
      <c r="S8" s="3"/>
    </row>
    <row r="9" spans="1:19" x14ac:dyDescent="0.25">
      <c r="A9" s="2">
        <v>2007</v>
      </c>
      <c r="B9" s="3">
        <v>412</v>
      </c>
      <c r="C9">
        <f t="shared" si="0"/>
        <v>2</v>
      </c>
      <c r="E9" t="s">
        <v>36</v>
      </c>
      <c r="F9" s="9" t="str">
        <f>IF(I7=COUNT(C:C),"OK","ERROR")</f>
        <v>OK</v>
      </c>
      <c r="M9" s="28" t="s">
        <v>49</v>
      </c>
      <c r="N9" s="9">
        <f>MEDIAN(B:B)</f>
        <v>525</v>
      </c>
      <c r="R9" s="2"/>
      <c r="S9" s="3"/>
    </row>
    <row r="10" spans="1:19" x14ac:dyDescent="0.25">
      <c r="A10" s="2">
        <v>2023</v>
      </c>
      <c r="B10" s="3">
        <v>413</v>
      </c>
      <c r="C10">
        <f t="shared" si="0"/>
        <v>2</v>
      </c>
      <c r="R10" s="2"/>
      <c r="S10" s="3"/>
    </row>
    <row r="11" spans="1:19" x14ac:dyDescent="0.25">
      <c r="A11" s="2">
        <v>2015</v>
      </c>
      <c r="B11" s="3">
        <v>434</v>
      </c>
      <c r="C11">
        <f t="shared" si="0"/>
        <v>2</v>
      </c>
      <c r="E11" s="1" t="s">
        <v>74</v>
      </c>
      <c r="R11" s="2"/>
      <c r="S11" s="3"/>
    </row>
    <row r="12" spans="1:19" x14ac:dyDescent="0.25">
      <c r="A12" s="2">
        <v>2017</v>
      </c>
      <c r="B12" s="3">
        <v>461</v>
      </c>
      <c r="C12">
        <f t="shared" si="0"/>
        <v>2</v>
      </c>
      <c r="E12" t="s">
        <v>22</v>
      </c>
      <c r="R12" s="2"/>
      <c r="S12" s="3"/>
    </row>
    <row r="13" spans="1:19" x14ac:dyDescent="0.25">
      <c r="A13" s="2">
        <v>2002</v>
      </c>
      <c r="B13" s="3">
        <v>468</v>
      </c>
      <c r="C13">
        <f t="shared" si="0"/>
        <v>2</v>
      </c>
      <c r="E13" t="s">
        <v>28</v>
      </c>
      <c r="R13" s="2"/>
      <c r="S13" s="3"/>
    </row>
    <row r="14" spans="1:19" x14ac:dyDescent="0.25">
      <c r="A14" s="2">
        <v>2022</v>
      </c>
      <c r="B14" s="3">
        <v>476</v>
      </c>
      <c r="C14">
        <f t="shared" si="0"/>
        <v>2</v>
      </c>
      <c r="E14" s="1" t="s">
        <v>44</v>
      </c>
      <c r="F14" s="1" t="s">
        <v>31</v>
      </c>
      <c r="R14" s="2"/>
      <c r="S14" s="3"/>
    </row>
    <row r="15" spans="1:19" x14ac:dyDescent="0.25">
      <c r="A15" s="2">
        <v>1992</v>
      </c>
      <c r="B15" s="3">
        <v>488</v>
      </c>
      <c r="C15">
        <f t="shared" si="0"/>
        <v>2</v>
      </c>
      <c r="E15" s="1" t="s">
        <v>45</v>
      </c>
      <c r="F15" s="1" t="s">
        <v>33</v>
      </c>
      <c r="R15" s="2"/>
      <c r="S15" s="3"/>
    </row>
    <row r="16" spans="1:19" x14ac:dyDescent="0.25">
      <c r="A16" s="2">
        <v>2000</v>
      </c>
      <c r="B16" s="3">
        <v>506</v>
      </c>
      <c r="C16">
        <f t="shared" si="0"/>
        <v>2</v>
      </c>
      <c r="E16" t="s">
        <v>42</v>
      </c>
      <c r="R16" s="2"/>
      <c r="S16" s="3"/>
    </row>
    <row r="17" spans="1:19" x14ac:dyDescent="0.25">
      <c r="A17" s="2">
        <v>2021</v>
      </c>
      <c r="B17" s="3">
        <v>524</v>
      </c>
      <c r="C17">
        <f t="shared" si="0"/>
        <v>2</v>
      </c>
      <c r="E17" t="s">
        <v>43</v>
      </c>
      <c r="R17" s="2"/>
      <c r="S17" s="3"/>
    </row>
    <row r="18" spans="1:19" x14ac:dyDescent="0.25">
      <c r="A18" s="2">
        <v>2006</v>
      </c>
      <c r="B18" s="3">
        <v>525</v>
      </c>
      <c r="C18">
        <f t="shared" si="0"/>
        <v>2</v>
      </c>
      <c r="E18" t="s">
        <v>46</v>
      </c>
      <c r="R18" s="2"/>
      <c r="S18" s="3"/>
    </row>
    <row r="19" spans="1:19" x14ac:dyDescent="0.25">
      <c r="A19" s="2">
        <v>2014</v>
      </c>
      <c r="B19" s="3">
        <v>525</v>
      </c>
      <c r="C19">
        <f t="shared" si="0"/>
        <v>2</v>
      </c>
      <c r="R19" s="2"/>
      <c r="S19" s="3"/>
    </row>
    <row r="20" spans="1:19" x14ac:dyDescent="0.25">
      <c r="A20" s="2">
        <v>2003</v>
      </c>
      <c r="B20" s="3">
        <v>537</v>
      </c>
      <c r="C20">
        <f t="shared" si="0"/>
        <v>3</v>
      </c>
      <c r="E20" s="1" t="s">
        <v>75</v>
      </c>
      <c r="R20" s="2"/>
      <c r="S20" s="3"/>
    </row>
    <row r="21" spans="1:19" x14ac:dyDescent="0.25">
      <c r="A21" s="2">
        <v>2008</v>
      </c>
      <c r="B21" s="3">
        <v>538</v>
      </c>
      <c r="C21">
        <f t="shared" si="0"/>
        <v>3</v>
      </c>
      <c r="R21" s="2"/>
      <c r="S21" s="3"/>
    </row>
    <row r="22" spans="1:19" x14ac:dyDescent="0.25">
      <c r="A22" s="2">
        <v>2016</v>
      </c>
      <c r="B22" s="3">
        <v>554</v>
      </c>
      <c r="C22">
        <f t="shared" si="0"/>
        <v>3</v>
      </c>
      <c r="R22" s="2"/>
      <c r="S22" s="3"/>
    </row>
    <row r="23" spans="1:19" x14ac:dyDescent="0.25">
      <c r="A23" s="2">
        <v>2009</v>
      </c>
      <c r="B23" s="3">
        <v>561</v>
      </c>
      <c r="C23">
        <f t="shared" si="0"/>
        <v>3</v>
      </c>
      <c r="R23" s="2"/>
      <c r="S23" s="3"/>
    </row>
    <row r="24" spans="1:19" x14ac:dyDescent="0.25">
      <c r="A24" s="2">
        <v>2004</v>
      </c>
      <c r="B24" s="3">
        <v>565</v>
      </c>
      <c r="C24">
        <f t="shared" si="0"/>
        <v>3</v>
      </c>
      <c r="R24" s="2"/>
      <c r="S24" s="3"/>
    </row>
    <row r="25" spans="1:19" x14ac:dyDescent="0.25">
      <c r="A25" s="2">
        <v>2024</v>
      </c>
      <c r="B25" s="3">
        <v>643</v>
      </c>
      <c r="C25">
        <f t="shared" si="0"/>
        <v>3</v>
      </c>
      <c r="R25" s="2"/>
      <c r="S25" s="3"/>
    </row>
    <row r="26" spans="1:19" x14ac:dyDescent="0.25">
      <c r="A26" s="2">
        <v>1996</v>
      </c>
      <c r="B26" s="3">
        <v>679</v>
      </c>
      <c r="C26">
        <f t="shared" si="0"/>
        <v>3</v>
      </c>
      <c r="R26" s="2"/>
      <c r="S26" s="3"/>
    </row>
    <row r="27" spans="1:19" x14ac:dyDescent="0.25">
      <c r="A27" s="2">
        <v>2001</v>
      </c>
      <c r="B27" s="3">
        <v>693</v>
      </c>
      <c r="C27">
        <f t="shared" si="0"/>
        <v>3</v>
      </c>
      <c r="R27" s="2"/>
      <c r="S27" s="3"/>
    </row>
    <row r="28" spans="1:19" x14ac:dyDescent="0.25">
      <c r="A28" s="2">
        <v>2020</v>
      </c>
      <c r="B28" s="3">
        <v>700</v>
      </c>
      <c r="C28">
        <f t="shared" si="0"/>
        <v>3</v>
      </c>
      <c r="R28" s="2"/>
      <c r="S28" s="3"/>
    </row>
    <row r="29" spans="1:19" x14ac:dyDescent="0.25">
      <c r="A29" s="2">
        <v>1998</v>
      </c>
      <c r="B29" s="3">
        <v>732</v>
      </c>
      <c r="C29">
        <f t="shared" si="0"/>
        <v>4</v>
      </c>
      <c r="R29" s="2"/>
      <c r="S29" s="3"/>
    </row>
    <row r="30" spans="1:19" x14ac:dyDescent="0.25">
      <c r="A30" s="2">
        <v>2011</v>
      </c>
      <c r="B30" s="3">
        <v>747</v>
      </c>
      <c r="C30">
        <f t="shared" si="0"/>
        <v>4</v>
      </c>
      <c r="R30" s="2"/>
      <c r="S30" s="3"/>
    </row>
    <row r="31" spans="1:19" x14ac:dyDescent="0.25">
      <c r="A31" s="2">
        <v>2018</v>
      </c>
      <c r="B31" s="3">
        <v>787</v>
      </c>
      <c r="C31">
        <f t="shared" si="0"/>
        <v>4</v>
      </c>
      <c r="R31" s="2"/>
      <c r="S31" s="3"/>
    </row>
    <row r="32" spans="1:19" x14ac:dyDescent="0.25">
      <c r="A32" s="2">
        <v>1997</v>
      </c>
      <c r="B32" s="3">
        <v>797</v>
      </c>
      <c r="C32">
        <f t="shared" si="0"/>
        <v>4</v>
      </c>
      <c r="R32" s="2"/>
      <c r="S32" s="3"/>
    </row>
    <row r="33" spans="1:19" x14ac:dyDescent="0.25">
      <c r="A33" s="2">
        <v>2010</v>
      </c>
      <c r="B33" s="3">
        <v>988</v>
      </c>
      <c r="C33">
        <f t="shared" si="0"/>
        <v>5</v>
      </c>
      <c r="R33" s="2"/>
      <c r="S33" s="3"/>
    </row>
    <row r="34" spans="1:19" x14ac:dyDescent="0.25">
      <c r="A34" s="2">
        <v>2013</v>
      </c>
      <c r="B34" s="3">
        <v>1073</v>
      </c>
      <c r="C34">
        <f t="shared" si="0"/>
        <v>5</v>
      </c>
      <c r="R34" s="2"/>
      <c r="S34" s="3"/>
    </row>
  </sheetData>
  <sortState xmlns:xlrd2="http://schemas.microsoft.com/office/spreadsheetml/2017/richdata2" ref="R2:S34">
    <sortCondition ref="S2:S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dataset</vt:lpstr>
      <vt:lpstr>Datos-Valores Ordenados</vt:lpstr>
      <vt:lpstr>Analisis Expl.+Regres. </vt:lpstr>
      <vt:lpstr>Regresion Precipitaciones</vt:lpstr>
      <vt:lpstr>Dist.Frecu. y RegresPº.Aceituna</vt:lpstr>
      <vt:lpstr>Correlacion Año con Pº.Aceituna</vt:lpstr>
      <vt:lpstr>T.Distrib. Frec. Tª</vt:lpstr>
      <vt:lpstr>Regresion Tª.media</vt:lpstr>
      <vt:lpstr>Emj.Tabla distribuc.Frecuc-Lluv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Castillo</dc:creator>
  <cp:lastModifiedBy>Javier Castillo</cp:lastModifiedBy>
  <dcterms:created xsi:type="dcterms:W3CDTF">2015-06-05T18:19:34Z</dcterms:created>
  <dcterms:modified xsi:type="dcterms:W3CDTF">2025-11-10T15:57:49Z</dcterms:modified>
</cp:coreProperties>
</file>